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🏠 Input Form" sheetId="2" state="visible" r:id="rId2"/>
    <sheet name="🗄️ Transactions" sheetId="3" state="visible" r:id="rId3"/>
    <sheet name="✅ Checklist" sheetId="4" state="visible" r:id="rId4"/>
    <sheet name="👤 Agents" sheetId="5" state="visible" r:id="rId5"/>
    <sheet name="📋 Instructions" sheetId="6" state="visible" r:id="rId6"/>
    <sheet name="⚙️ Lookups" sheetId="7" state="hidden" r:id="rId7"/>
  </sheets>
  <definedNames>
    <definedName name="AgentNameList">'👤 Agents'!$C$4:$C$38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mm/dd/yyyy"/>
    <numFmt numFmtId="167" formatCode="&quot;$&quot;#,##0"/>
    <numFmt numFmtId="168" formatCode="yyyy-mm-dd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595959"/>
      <sz val="11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FFFFFF"/>
      <sz val="14"/>
    </font>
    <font>
      <name val="Calibri"/>
      <b val="1"/>
      <color rgb="007F6000"/>
      <sz val="10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sz val="11"/>
    </font>
    <font>
      <name val="Calibri"/>
      <i val="1"/>
      <color rgb="001F3864"/>
      <sz val="10"/>
    </font>
    <font>
      <name val="Calibri"/>
      <b val="1"/>
      <i val="1"/>
      <color rgb="002F5496"/>
      <sz val="10"/>
    </font>
    <font>
      <name val="Calibri"/>
      <b val="1"/>
      <color rgb="00595959"/>
      <sz val="10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color rgb="00000000"/>
      <sz val="9"/>
    </font>
    <font>
      <name val="Calibri"/>
      <b val="1"/>
      <color rgb="007F4000"/>
      <sz val="11"/>
    </font>
    <font>
      <name val="Calibri"/>
      <color rgb="00000000"/>
      <sz val="12"/>
    </font>
    <font>
      <name val="Calibri"/>
      <b val="1"/>
      <color rgb="002F5496"/>
      <sz val="12"/>
    </font>
    <font>
      <name val="Calibri"/>
      <color rgb="00375623"/>
      <sz val="11"/>
    </font>
    <font>
      <name val="Calibri"/>
      <b val="1"/>
      <color rgb="001F3864"/>
      <sz val="22"/>
    </font>
    <font>
      <name val="Calibri"/>
      <sz val="10"/>
    </font>
    <font>
      <name val="Calibri"/>
      <b val="1"/>
      <sz val="11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DBD6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F"/>
      </patternFill>
    </fill>
    <fill>
      <patternFill patternType="solid">
        <fgColor rgb="00E9F0FB"/>
      </patternFill>
    </fill>
    <fill>
      <patternFill patternType="solid">
        <fgColor rgb="0017375E"/>
      </patternFill>
    </fill>
    <fill>
      <patternFill patternType="solid">
        <fgColor rgb="00375623"/>
      </patternFill>
    </fill>
    <fill>
      <patternFill patternType="solid">
        <fgColor rgb="007F4000"/>
      </patternFill>
    </fill>
    <fill>
      <patternFill patternType="solid">
        <fgColor rgb="00843C0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4B942"/>
      </left>
      <right style="thin">
        <color rgb="00F4B942"/>
      </right>
      <top style="thin">
        <color rgb="00F4B942"/>
      </top>
      <bottom style="thin">
        <color rgb="00F4B942"/>
      </bottom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medium">
        <color rgb="00F4B942"/>
      </left>
      <right style="medium">
        <color rgb="00F4B942"/>
      </right>
      <top style="medium">
        <color rgb="00F4B942"/>
      </top>
      <bottom style="medium">
        <color rgb="00F4B942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 wrapText="1"/>
    </xf>
    <xf numFmtId="0" fontId="28" fillId="7" borderId="0" applyAlignment="1" pivotButton="0" quotePrefix="0" xfId="0">
      <alignment horizontal="center" vertical="center"/>
    </xf>
    <xf numFmtId="164" fontId="28" fillId="7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2"/>
    </xf>
    <xf numFmtId="0" fontId="10" fillId="11" borderId="0" applyAlignment="1" pivotButton="0" quotePrefix="0" xfId="0">
      <alignment horizontal="center" vertical="center"/>
    </xf>
    <xf numFmtId="0" fontId="29" fillId="12" borderId="0" pivotButton="0" quotePrefix="0" xfId="0"/>
    <xf numFmtId="166" fontId="29" fillId="12" borderId="0" pivotButton="0" quotePrefix="0" xfId="0"/>
    <xf numFmtId="1" fontId="29" fillId="12" borderId="0" applyAlignment="1" pivotButton="0" quotePrefix="0" xfId="0">
      <alignment horizontal="center"/>
    </xf>
    <xf numFmtId="0" fontId="29" fillId="10" borderId="0" pivotButton="0" quotePrefix="0" xfId="0"/>
    <xf numFmtId="166" fontId="29" fillId="10" borderId="0" pivotButton="0" quotePrefix="0" xfId="0"/>
    <xf numFmtId="1" fontId="29" fillId="10" borderId="0" applyAlignment="1" pivotButton="0" quotePrefix="0" xfId="0">
      <alignment horizontal="center"/>
    </xf>
    <xf numFmtId="0" fontId="3" fillId="17" borderId="0" applyAlignment="1" pivotButton="0" quotePrefix="0" xfId="0">
      <alignment horizontal="left" vertical="center" indent="2"/>
    </xf>
    <xf numFmtId="167" fontId="29" fillId="12" borderId="0" applyAlignment="1" pivotButton="0" quotePrefix="0" xfId="0">
      <alignment horizontal="right"/>
    </xf>
    <xf numFmtId="167" fontId="29" fillId="10" borderId="0" applyAlignment="1" pivotButton="0" quotePrefix="0" xfId="0">
      <alignment horizontal="right"/>
    </xf>
    <xf numFmtId="0" fontId="30" fillId="7" borderId="0" pivotButton="0" quotePrefix="0" xfId="0"/>
    <xf numFmtId="164" fontId="30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center"/>
    </xf>
    <xf numFmtId="164" fontId="17" fillId="7" borderId="0" applyAlignment="1" pivotButton="0" quotePrefix="0" xfId="0">
      <alignment horizontal="right"/>
    </xf>
    <xf numFmtId="0" fontId="17" fillId="10" borderId="0" pivotButton="0" quotePrefix="0" xfId="0"/>
    <xf numFmtId="164" fontId="17" fillId="10" borderId="0" applyAlignment="1" pivotButton="0" quotePrefix="0" xfId="0">
      <alignment horizontal="right"/>
    </xf>
    <xf numFmtId="0" fontId="17" fillId="10" borderId="0" applyAlignment="1" pivotButton="0" quotePrefix="0" xfId="0">
      <alignment horizontal="center"/>
    </xf>
    <xf numFmtId="0" fontId="17" fillId="12" borderId="0" pivotButton="0" quotePrefix="0" xfId="0"/>
    <xf numFmtId="164" fontId="17" fillId="12" borderId="0" applyAlignment="1" pivotButton="0" quotePrefix="0" xfId="0">
      <alignment horizontal="right"/>
    </xf>
    <xf numFmtId="0" fontId="17" fillId="1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 indent="2"/>
    </xf>
    <xf numFmtId="0" fontId="14" fillId="3" borderId="0" applyAlignment="1" pivotButton="0" quotePrefix="0" xfId="0">
      <alignment horizontal="right" vertical="center" indent="1"/>
    </xf>
    <xf numFmtId="49" fontId="26" fillId="6" borderId="4" applyAlignment="1" pivotButton="0" quotePrefix="0" xfId="0">
      <alignment horizontal="left" vertical="center" indent="1"/>
    </xf>
    <xf numFmtId="166" fontId="25" fillId="6" borderId="4" applyAlignment="1" pivotButton="0" quotePrefix="0" xfId="0">
      <alignment horizontal="left" vertical="center" indent="1"/>
    </xf>
    <xf numFmtId="0" fontId="25" fillId="4" borderId="5" applyAlignment="1" applyProtection="1" pivotButton="0" quotePrefix="0" xfId="0">
      <alignment horizontal="left" vertical="center" indent="1"/>
      <protection locked="0" hidden="0"/>
    </xf>
    <xf numFmtId="166" fontId="25" fillId="4" borderId="5" applyAlignment="1" applyProtection="1" pivotButton="0" quotePrefix="0" xfId="0">
      <alignment horizontal="left" vertical="center" indent="1"/>
      <protection locked="0" hidden="0"/>
    </xf>
    <xf numFmtId="167" fontId="25" fillId="4" borderId="5" applyAlignment="1" applyProtection="1" pivotButton="0" quotePrefix="0" xfId="0">
      <alignment horizontal="left" vertical="center" indent="1"/>
      <protection locked="0" hidden="0"/>
    </xf>
    <xf numFmtId="10" fontId="25" fillId="4" borderId="5" applyAlignment="1" applyProtection="1" pivotButton="0" quotePrefix="0" xfId="0">
      <alignment horizontal="left" vertical="center" indent="1"/>
      <protection locked="0" hidden="0"/>
    </xf>
    <xf numFmtId="164" fontId="25" fillId="4" borderId="5" applyAlignment="1" applyProtection="1" pivotButton="0" quotePrefix="0" xfId="0">
      <alignment horizontal="left" vertical="center" indent="1"/>
      <protection locked="0" hidden="0"/>
    </xf>
    <xf numFmtId="0" fontId="0" fillId="4" borderId="5" applyProtection="1" pivotButton="0" quotePrefix="0" xfId="0">
      <protection locked="0" hidden="0"/>
    </xf>
    <xf numFmtId="0" fontId="3" fillId="15" borderId="0" applyAlignment="1" pivotButton="0" quotePrefix="0" xfId="0">
      <alignment horizontal="left" vertical="center" indent="2"/>
    </xf>
    <xf numFmtId="0" fontId="27" fillId="7" borderId="0" applyAlignment="1" pivotButton="0" quotePrefix="0" xfId="0">
      <alignment horizontal="left" vertical="top" wrapText="1" indent="1"/>
    </xf>
    <xf numFmtId="0" fontId="18" fillId="13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/>
    </xf>
    <xf numFmtId="166" fontId="16" fillId="6" borderId="0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left" vertical="center"/>
      <protection locked="0" hidden="0"/>
    </xf>
    <xf numFmtId="3" fontId="8" fillId="4" borderId="2" applyAlignment="1" applyProtection="1" pivotButton="0" quotePrefix="0" xfId="0">
      <alignment horizontal="center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166" fontId="8" fillId="4" borderId="2" applyAlignment="1" applyProtection="1" pivotButton="0" quotePrefix="0" xfId="0">
      <alignment horizontal="center" vertical="center"/>
      <protection locked="0" hidden="0"/>
    </xf>
    <xf numFmtId="0" fontId="8" fillId="4" borderId="2" applyAlignment="1" applyProtection="1" pivotButton="0" quotePrefix="0" xfId="0">
      <alignment horizontal="center" vertical="center"/>
      <protection locked="0" hidden="0"/>
    </xf>
    <xf numFmtId="10" fontId="8" fillId="4" borderId="2" applyAlignment="1" applyProtection="1" pivotButton="0" quotePrefix="0" xfId="0">
      <alignment horizontal="center" vertical="center"/>
      <protection locked="0" hidden="0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8" fillId="5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10" fontId="8" fillId="5" borderId="3" applyAlignment="1" pivotButton="0" quotePrefix="0" xfId="0">
      <alignment horizontal="center" vertical="center"/>
    </xf>
    <xf numFmtId="164" fontId="8" fillId="5" borderId="3" applyAlignment="1" pivotButton="0" quotePrefix="0" xfId="0">
      <alignment horizontal="right" vertical="center"/>
    </xf>
    <xf numFmtId="167" fontId="8" fillId="5" borderId="3" applyAlignment="1" pivotButton="0" quotePrefix="0" xfId="0">
      <alignment horizontal="right" vertical="center"/>
    </xf>
    <xf numFmtId="0" fontId="21" fillId="2" borderId="0" pivotButton="0" quotePrefix="0" xfId="0"/>
    <xf numFmtId="0" fontId="21" fillId="3" borderId="0" applyAlignment="1" pivotButton="0" quotePrefix="0" xfId="0">
      <alignment horizontal="center" vertical="center"/>
    </xf>
    <xf numFmtId="0" fontId="21" fillId="15" borderId="0" applyAlignment="1" pivotButton="0" quotePrefix="0" xfId="0">
      <alignment horizontal="center" vertical="center"/>
    </xf>
    <xf numFmtId="0" fontId="21" fillId="16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21" fillId="17" borderId="0" applyAlignment="1" pivotButton="0" quotePrefix="0" xfId="0">
      <alignment horizontal="center" vertical="center"/>
    </xf>
    <xf numFmtId="0" fontId="21" fillId="11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7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/>
    </xf>
    <xf numFmtId="0" fontId="16" fillId="6" borderId="0" applyAlignment="1" pivotButton="0" quotePrefix="0" xfId="0">
      <alignment horizontal="left" vertical="center"/>
    </xf>
    <xf numFmtId="0" fontId="23" fillId="4" borderId="2" applyAlignment="1" applyProtection="1" pivotButton="0" quotePrefix="0" xfId="0">
      <alignment horizontal="center" vertical="center"/>
      <protection locked="0" hidden="0"/>
    </xf>
    <xf numFmtId="0" fontId="13" fillId="4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/>
    </xf>
    <xf numFmtId="0" fontId="17" fillId="12" borderId="0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17" fillId="4" borderId="0" applyProtection="1" pivotButton="0" quotePrefix="0" xfId="0">
      <protection locked="0" hidden="0"/>
    </xf>
    <xf numFmtId="0" fontId="0" fillId="6" borderId="0" pivotButton="0" quotePrefix="0" xfId="0"/>
    <xf numFmtId="0" fontId="0" fillId="4" borderId="2" applyProtection="1" pivotButton="0" quotePrefix="0" xfId="0">
      <protection locked="0" hidden="0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7" fillId="9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left" vertical="top" wrapText="1" indent="1"/>
    </xf>
    <xf numFmtId="0" fontId="9" fillId="0" borderId="0" pivotButton="0" quotePrefix="0" xfId="0"/>
    <xf numFmtId="0" fontId="10" fillId="11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1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6">
    <dxf>
      <font>
        <name val="Calibri"/>
        <color rgb="00C00000"/>
      </font>
      <fill>
        <patternFill patternType="solid">
          <fgColor rgb="00FFDBD6"/>
        </patternFill>
      </fill>
    </dxf>
    <dxf>
      <font>
        <name val="Calibri"/>
        <color rgb="00375623"/>
      </font>
      <fill>
        <patternFill patternType="solid">
          <fgColor rgb="00E2EFDA"/>
        </patternFill>
      </fill>
    </dxf>
    <dxf>
      <font>
        <name val="Calibri"/>
        <b val="1"/>
        <color rgb="00C00000"/>
      </font>
      <fill>
        <patternFill patternType="solid">
          <fgColor rgb="00FFDBD6"/>
        </patternFill>
      </fill>
    </dxf>
    <dxf>
      <font>
        <name val="Calibri"/>
        <color rgb="007F6000"/>
      </font>
      <fill>
        <patternFill patternType="solid">
          <fgColor rgb="00FFF2CC"/>
        </patternFill>
      </fill>
    </dxf>
    <dxf>
      <font>
        <name val="Calibri"/>
        <color rgb="00808080"/>
      </font>
      <fill>
        <patternFill patternType="solid">
          <fgColor rgb="00F2F2F2"/>
        </patternFill>
      </fill>
    </dxf>
    <dxf>
      <font>
        <name val="Calibri"/>
        <color rgb="00843C0C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Agent" displayName="tblAgent" ref="C3:D38" headerRowCount="1">
  <autoFilter ref="C3:D38"/>
  <tableColumns count="2">
    <tableColumn id="3" name="AgentName"/>
    <tableColumn id="4" name="Office"/>
  </tableColumns>
  <tableStyleInfo name="TableStyleMedium2" showRowStripes="1"/>
</table>
</file>

<file path=xl/tables/table2.xml><?xml version="1.0" encoding="utf-8"?>
<table xmlns="http://schemas.openxmlformats.org/spreadsheetml/2006/main" id="2" name="tblStatus" displayName="tblStatus" ref="A2:B7" headerRowCount="1">
  <autoFilter ref="A2:B7"/>
  <tableColumns count="2">
    <tableColumn id="1" name="Status"/>
    <tableColumn id="2" name="Bucket"/>
  </tableColumns>
  <tableStyleInfo name="TableStyleLight2" showRowStripes="1"/>
</table>
</file>

<file path=xl/tables/table3.xml><?xml version="1.0" encoding="utf-8"?>
<table xmlns="http://schemas.openxmlformats.org/spreadsheetml/2006/main" id="3" name="tblLoanType" displayName="tblLoanType" ref="D2:D9" headerRowCount="1">
  <autoFilter ref="D2:D9"/>
  <tableColumns count="1">
    <tableColumn id="4" name="LoanType"/>
  </tableColumns>
  <tableStyleInfo name="TableStyleLight2" showRowStripes="1"/>
</table>
</file>

<file path=xl/tables/table4.xml><?xml version="1.0" encoding="utf-8"?>
<table xmlns="http://schemas.openxmlformats.org/spreadsheetml/2006/main" id="4" name="tblEMHold" displayName="tblEMHold" ref="F2:F9" headerRowCount="1">
  <autoFilter ref="F2:F9"/>
  <tableColumns count="1">
    <tableColumn id="6" name="EMHold"/>
  </tableColumns>
  <tableStyleInfo name="TableStyleLight2" showRowStripes="1"/>
</table>
</file>

<file path=xl/tables/table5.xml><?xml version="1.0" encoding="utf-8"?>
<table xmlns="http://schemas.openxmlformats.org/spreadsheetml/2006/main" id="5" name="tblHWPay" displayName="tblHWPay" ref="H2:H7" headerRowCount="1">
  <autoFilter ref="H2:H7"/>
  <tableColumns count="1">
    <tableColumn id="8" name="HWPay"/>
  </tableColumns>
  <tableStyleInfo name="TableStyleLight2" showRowStripes="1"/>
</table>
</file>

<file path=xl/tables/table6.xml><?xml version="1.0" encoding="utf-8"?>
<table xmlns="http://schemas.openxmlformats.org/spreadsheetml/2006/main" id="6" name="tblYN" displayName="tblYN" ref="J2:J4" headerRowCount="1">
  <autoFilter ref="J2:J4"/>
  <tableColumns count="1">
    <tableColumn id="10" name="YN"/>
  </tableColumns>
  <tableStyleInfo name="TableStyleLight2" showRowStripes="1"/>
</table>
</file>

<file path=xl/tables/table7.xml><?xml version="1.0" encoding="utf-8"?>
<table xmlns="http://schemas.openxmlformats.org/spreadsheetml/2006/main" id="7" name="tblTransStatus" displayName="tblTransStatus" ref="L2:L5" headerRowCount="1">
  <autoFilter ref="L2:L5"/>
  <tableColumns count="1">
    <tableColumn id="12" name="TransStatus"/>
  </tableColumns>
  <tableStyleInfo name="TableStyleLight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43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 ht="42" customHeight="1">
      <c r="A1" s="1" t="inlineStr">
        <is>
          <t>📊  HH REALTY — TRANSACTION DASHBOARD</t>
        </is>
      </c>
    </row>
    <row r="2" ht="20" customHeight="1">
      <c r="A2" s="2">
        <f>CONCATENATE("Last Updated: ",TEXT(NOW(),"mmmm d, yyyy  h:MM AM/PM"))</f>
        <v/>
      </c>
    </row>
    <row r="3" ht="22" customHeight="1">
      <c r="A3" s="3" t="inlineStr">
        <is>
          <t>KEY PERFORMANCE INDICATORS</t>
        </is>
      </c>
    </row>
    <row r="4" ht="28" customHeight="1">
      <c r="B4" s="4" t="inlineStr">
        <is>
          <t>📈 ACTIVE TRANSACTIONS</t>
        </is>
      </c>
      <c r="C4" s="4" t="inlineStr">
        <is>
          <t>💰 TOTAL HH REVENUE</t>
        </is>
      </c>
      <c r="D4" s="4" t="inlineStr">
        <is>
          <t>📅 CLOSING ≤ 7 DAYS</t>
        </is>
      </c>
      <c r="E4" s="4" t="inlineStr">
        <is>
          <t>⚠️ COMMISSION ISSUES</t>
        </is>
      </c>
    </row>
    <row r="5" ht="42" customHeight="1">
      <c r="B5" s="5">
        <f>COUNTIF('🗄️ Transactions'!Y5:Y200,"Active")</f>
        <v/>
      </c>
      <c r="C5" s="6">
        <f>SUMIF('🗄️ Transactions'!Y5:Y200,"Active",'🗄️ Transactions'!AI5:AI200)</f>
        <v/>
      </c>
      <c r="D5" s="5">
        <f>COUNTIFS('🗄️ Transactions'!H5:H200,"&gt;="&amp;TODAY(),'🗄️ Transactions'!H5:H200,"&lt;="&amp;(TODAY()+7),'🗄️ Transactions'!Y5:Y200,"Active")</f>
        <v/>
      </c>
      <c r="E5" s="5">
        <f>COUNTIF('🗄️ Transactions'!AJ5:AJ200,"*CHECK*")</f>
        <v/>
      </c>
    </row>
    <row r="8" ht="28" customHeight="1">
      <c r="B8" s="4" t="inlineStr">
        <is>
          <t>✅ CLOSED THIS YEAR</t>
        </is>
      </c>
      <c r="C8" s="4" t="inlineStr">
        <is>
          <t>💼 CLOSINGS THIS MONTH</t>
        </is>
      </c>
      <c r="D8" s="4" t="inlineStr">
        <is>
          <t>🏦 MISSING TITLE CO.</t>
        </is>
      </c>
      <c r="E8" s="4" t="inlineStr">
        <is>
          <t>💣 BOMB TRANSACTIONS</t>
        </is>
      </c>
    </row>
    <row r="9" ht="42" customHeight="1">
      <c r="B9" s="5">
        <f>COUNTIF('🗄️ Transactions'!Y5:Y200,"Closed")</f>
        <v/>
      </c>
      <c r="C9" s="5">
        <f>COUNTIFS('🗄️ Transactions'!H5:H200,"&gt;="&amp;EOMONTH(TODAY(),-1)+1,'🗄️ Transactions'!H5:H200,"&lt;="&amp;EOMONTH(TODAY(),0),'🗄️ Transactions'!Y5:Y200,"Active")</f>
        <v/>
      </c>
      <c r="D9" s="5">
        <f>COUNTIFS('🗄️ Transactions'!V5:V200,"",'🗄️ Transactions'!Y5:Y200,"Active")</f>
        <v/>
      </c>
      <c r="E9" s="5">
        <f>COUNTIF('🗄️ Transactions'!Y5:Y200,"BOMB")</f>
        <v/>
      </c>
    </row>
    <row r="11" ht="8" customHeight="1"/>
    <row r="12" ht="24" customHeight="1">
      <c r="B12" s="7" t="inlineStr">
        <is>
          <t>📅  CLOSING WITHIN 14 DAYS</t>
        </is>
      </c>
    </row>
    <row r="13" ht="20" customHeight="1">
      <c r="B13" s="8" t="inlineStr">
        <is>
          <t>Txn ID</t>
        </is>
      </c>
      <c r="C13" s="8" t="inlineStr">
        <is>
          <t>Address</t>
        </is>
      </c>
      <c r="D13" s="8" t="inlineStr">
        <is>
          <t>Closing Date</t>
        </is>
      </c>
      <c r="E13" s="8" t="inlineStr">
        <is>
          <t>Days Left</t>
        </is>
      </c>
    </row>
    <row r="14" ht="18" customHeight="1">
      <c r="B14" s="9">
        <f>IFERROR(INDEX('🗄️ Transactions'!$A$5:$A$200,MATCH(SMALL(IF('🗄️ Transactions'!$Y$5:$Y$200="Active",IF('🗄️ Transactions'!$H$5:$H$200&gt;=TODAY()-1,'🗄️ Transactions'!$H$5:$H$200,9999999)),1),'🗄️ Transactions'!$H$5:$H$200,0)),"—")</f>
        <v/>
      </c>
      <c r="C14" s="9">
        <f>IFERROR(INDEX('🗄️ Transactions'!$C$5:$C$200,MATCH(SMALL(IF('🗄️ Transactions'!$Y$5:$Y$200="Active",IF('🗄️ Transactions'!$H$5:$H$200&gt;=TODAY()-1,'🗄️ Transactions'!$H$5:$H$200,9999999)),1),'🗄️ Transactions'!$H$5:$H$200,0)),"—")</f>
        <v/>
      </c>
      <c r="D14" s="10">
        <f>IFERROR(SMALL(IF('🗄️ Transactions'!$Y$5:$Y$200="Active",IF('🗄️ Transactions'!$H$5:$H$200&gt;=TODAY()-1,'🗄️ Transactions'!$H$5:$H$200,9999999)),1),"—")</f>
        <v/>
      </c>
      <c r="E14" s="11">
        <f>IFERROR(D14-TODAY(),"—")</f>
        <v/>
      </c>
    </row>
    <row r="15" ht="18" customHeight="1">
      <c r="B15" s="12">
        <f>IFERROR(INDEX('🗄️ Transactions'!$A$5:$A$200,MATCH(SMALL(IF('🗄️ Transactions'!$Y$5:$Y$200="Active",IF('🗄️ Transactions'!$H$5:$H$200&gt;=TODAY()-1,'🗄️ Transactions'!$H$5:$H$200,9999999)),2),'🗄️ Transactions'!$H$5:$H$200,0)),"—")</f>
        <v/>
      </c>
      <c r="C15" s="12">
        <f>IFERROR(INDEX('🗄️ Transactions'!$C$5:$C$200,MATCH(SMALL(IF('🗄️ Transactions'!$Y$5:$Y$200="Active",IF('🗄️ Transactions'!$H$5:$H$200&gt;=TODAY()-1,'🗄️ Transactions'!$H$5:$H$200,9999999)),2),'🗄️ Transactions'!$H$5:$H$200,0)),"—")</f>
        <v/>
      </c>
      <c r="D15" s="13">
        <f>IFERROR(SMALL(IF('🗄️ Transactions'!$Y$5:$Y$200="Active",IF('🗄️ Transactions'!$H$5:$H$200&gt;=TODAY()-1,'🗄️ Transactions'!$H$5:$H$200,9999999)),2),"—")</f>
        <v/>
      </c>
      <c r="E15" s="14">
        <f>IFERROR(D15-TODAY(),"—")</f>
        <v/>
      </c>
    </row>
    <row r="16" ht="18" customHeight="1">
      <c r="B16" s="9">
        <f>IFERROR(INDEX('🗄️ Transactions'!$A$5:$A$200,MATCH(SMALL(IF('🗄️ Transactions'!$Y$5:$Y$200="Active",IF('🗄️ Transactions'!$H$5:$H$200&gt;=TODAY()-1,'🗄️ Transactions'!$H$5:$H$200,9999999)),3),'🗄️ Transactions'!$H$5:$H$200,0)),"—")</f>
        <v/>
      </c>
      <c r="C16" s="9">
        <f>IFERROR(INDEX('🗄️ Transactions'!$C$5:$C$200,MATCH(SMALL(IF('🗄️ Transactions'!$Y$5:$Y$200="Active",IF('🗄️ Transactions'!$H$5:$H$200&gt;=TODAY()-1,'🗄️ Transactions'!$H$5:$H$200,9999999)),3),'🗄️ Transactions'!$H$5:$H$200,0)),"—")</f>
        <v/>
      </c>
      <c r="D16" s="10">
        <f>IFERROR(SMALL(IF('🗄️ Transactions'!$Y$5:$Y$200="Active",IF('🗄️ Transactions'!$H$5:$H$200&gt;=TODAY()-1,'🗄️ Transactions'!$H$5:$H$200,9999999)),3),"—")</f>
        <v/>
      </c>
      <c r="E16" s="11">
        <f>IFERROR(D16-TODAY(),"—")</f>
        <v/>
      </c>
    </row>
    <row r="17" ht="18" customHeight="1">
      <c r="B17" s="12">
        <f>IFERROR(INDEX('🗄️ Transactions'!$A$5:$A$200,MATCH(SMALL(IF('🗄️ Transactions'!$Y$5:$Y$200="Active",IF('🗄️ Transactions'!$H$5:$H$200&gt;=TODAY()-1,'🗄️ Transactions'!$H$5:$H$200,9999999)),4),'🗄️ Transactions'!$H$5:$H$200,0)),"—")</f>
        <v/>
      </c>
      <c r="C17" s="12">
        <f>IFERROR(INDEX('🗄️ Transactions'!$C$5:$C$200,MATCH(SMALL(IF('🗄️ Transactions'!$Y$5:$Y$200="Active",IF('🗄️ Transactions'!$H$5:$H$200&gt;=TODAY()-1,'🗄️ Transactions'!$H$5:$H$200,9999999)),4),'🗄️ Transactions'!$H$5:$H$200,0)),"—")</f>
        <v/>
      </c>
      <c r="D17" s="13">
        <f>IFERROR(SMALL(IF('🗄️ Transactions'!$Y$5:$Y$200="Active",IF('🗄️ Transactions'!$H$5:$H$200&gt;=TODAY()-1,'🗄️ Transactions'!$H$5:$H$200,9999999)),4),"—")</f>
        <v/>
      </c>
      <c r="E17" s="14">
        <f>IFERROR(D17-TODAY(),"—")</f>
        <v/>
      </c>
    </row>
    <row r="18" ht="18" customHeight="1">
      <c r="B18" s="9">
        <f>IFERROR(INDEX('🗄️ Transactions'!$A$5:$A$200,MATCH(SMALL(IF('🗄️ Transactions'!$Y$5:$Y$200="Active",IF('🗄️ Transactions'!$H$5:$H$200&gt;=TODAY()-1,'🗄️ Transactions'!$H$5:$H$200,9999999)),5),'🗄️ Transactions'!$H$5:$H$200,0)),"—")</f>
        <v/>
      </c>
      <c r="C18" s="9">
        <f>IFERROR(INDEX('🗄️ Transactions'!$C$5:$C$200,MATCH(SMALL(IF('🗄️ Transactions'!$Y$5:$Y$200="Active",IF('🗄️ Transactions'!$H$5:$H$200&gt;=TODAY()-1,'🗄️ Transactions'!$H$5:$H$200,9999999)),5),'🗄️ Transactions'!$H$5:$H$200,0)),"—")</f>
        <v/>
      </c>
      <c r="D18" s="10">
        <f>IFERROR(SMALL(IF('🗄️ Transactions'!$Y$5:$Y$200="Active",IF('🗄️ Transactions'!$H$5:$H$200&gt;=TODAY()-1,'🗄️ Transactions'!$H$5:$H$200,9999999)),5),"—")</f>
        <v/>
      </c>
      <c r="E18" s="11">
        <f>IFERROR(D18-TODAY(),"—")</f>
        <v/>
      </c>
    </row>
    <row r="19" ht="18" customHeight="1">
      <c r="B19" s="12">
        <f>IFERROR(INDEX('🗄️ Transactions'!$A$5:$A$200,MATCH(SMALL(IF('🗄️ Transactions'!$Y$5:$Y$200="Active",IF('🗄️ Transactions'!$H$5:$H$200&gt;=TODAY()-1,'🗄️ Transactions'!$H$5:$H$200,9999999)),6),'🗄️ Transactions'!$H$5:$H$200,0)),"—")</f>
        <v/>
      </c>
      <c r="C19" s="12">
        <f>IFERROR(INDEX('🗄️ Transactions'!$C$5:$C$200,MATCH(SMALL(IF('🗄️ Transactions'!$Y$5:$Y$200="Active",IF('🗄️ Transactions'!$H$5:$H$200&gt;=TODAY()-1,'🗄️ Transactions'!$H$5:$H$200,9999999)),6),'🗄️ Transactions'!$H$5:$H$200,0)),"—")</f>
        <v/>
      </c>
      <c r="D19" s="13">
        <f>IFERROR(SMALL(IF('🗄️ Transactions'!$Y$5:$Y$200="Active",IF('🗄️ Transactions'!$H$5:$H$200&gt;=TODAY()-1,'🗄️ Transactions'!$H$5:$H$200,9999999)),6),"—")</f>
        <v/>
      </c>
      <c r="E19" s="14">
        <f>IFERROR(D19-TODAY(),"—")</f>
        <v/>
      </c>
    </row>
    <row r="20" ht="18" customHeight="1">
      <c r="B20" s="9">
        <f>IFERROR(INDEX('🗄️ Transactions'!$A$5:$A$200,MATCH(SMALL(IF('🗄️ Transactions'!$Y$5:$Y$200="Active",IF('🗄️ Transactions'!$H$5:$H$200&gt;=TODAY()-1,'🗄️ Transactions'!$H$5:$H$200,9999999)),7),'🗄️ Transactions'!$H$5:$H$200,0)),"—")</f>
        <v/>
      </c>
      <c r="C20" s="9">
        <f>IFERROR(INDEX('🗄️ Transactions'!$C$5:$C$200,MATCH(SMALL(IF('🗄️ Transactions'!$Y$5:$Y$200="Active",IF('🗄️ Transactions'!$H$5:$H$200&gt;=TODAY()-1,'🗄️ Transactions'!$H$5:$H$200,9999999)),7),'🗄️ Transactions'!$H$5:$H$200,0)),"—")</f>
        <v/>
      </c>
      <c r="D20" s="10">
        <f>IFERROR(SMALL(IF('🗄️ Transactions'!$Y$5:$Y$200="Active",IF('🗄️ Transactions'!$H$5:$H$200&gt;=TODAY()-1,'🗄️ Transactions'!$H$5:$H$200,9999999)),7),"—")</f>
        <v/>
      </c>
      <c r="E20" s="11">
        <f>IFERROR(D20-TODAY(),"—")</f>
        <v/>
      </c>
    </row>
    <row r="21" ht="18" customHeight="1">
      <c r="B21" s="12">
        <f>IFERROR(INDEX('🗄️ Transactions'!$A$5:$A$200,MATCH(SMALL(IF('🗄️ Transactions'!$Y$5:$Y$200="Active",IF('🗄️ Transactions'!$H$5:$H$200&gt;=TODAY()-1,'🗄️ Transactions'!$H$5:$H$200,9999999)),8),'🗄️ Transactions'!$H$5:$H$200,0)),"—")</f>
        <v/>
      </c>
      <c r="C21" s="12">
        <f>IFERROR(INDEX('🗄️ Transactions'!$C$5:$C$200,MATCH(SMALL(IF('🗄️ Transactions'!$Y$5:$Y$200="Active",IF('🗄️ Transactions'!$H$5:$H$200&gt;=TODAY()-1,'🗄️ Transactions'!$H$5:$H$200,9999999)),8),'🗄️ Transactions'!$H$5:$H$200,0)),"—")</f>
        <v/>
      </c>
      <c r="D21" s="13">
        <f>IFERROR(SMALL(IF('🗄️ Transactions'!$Y$5:$Y$200="Active",IF('🗄️ Transactions'!$H$5:$H$200&gt;=TODAY()-1,'🗄️ Transactions'!$H$5:$H$200,9999999)),8),"—")</f>
        <v/>
      </c>
      <c r="E21" s="14">
        <f>IFERROR(D21-TODAY(),"—")</f>
        <v/>
      </c>
    </row>
    <row r="22" ht="18" customHeight="1">
      <c r="B22" s="9">
        <f>IFERROR(INDEX('🗄️ Transactions'!$A$5:$A$200,MATCH(SMALL(IF('🗄️ Transactions'!$Y$5:$Y$200="Active",IF('🗄️ Transactions'!$H$5:$H$200&gt;=TODAY()-1,'🗄️ Transactions'!$H$5:$H$200,9999999)),9),'🗄️ Transactions'!$H$5:$H$200,0)),"—")</f>
        <v/>
      </c>
      <c r="C22" s="9">
        <f>IFERROR(INDEX('🗄️ Transactions'!$C$5:$C$200,MATCH(SMALL(IF('🗄️ Transactions'!$Y$5:$Y$200="Active",IF('🗄️ Transactions'!$H$5:$H$200&gt;=TODAY()-1,'🗄️ Transactions'!$H$5:$H$200,9999999)),9),'🗄️ Transactions'!$H$5:$H$200,0)),"—")</f>
        <v/>
      </c>
      <c r="D22" s="10">
        <f>IFERROR(SMALL(IF('🗄️ Transactions'!$Y$5:$Y$200="Active",IF('🗄️ Transactions'!$H$5:$H$200&gt;=TODAY()-1,'🗄️ Transactions'!$H$5:$H$200,9999999)),9),"—")</f>
        <v/>
      </c>
      <c r="E22" s="11">
        <f>IFERROR(D22-TODAY(),"—")</f>
        <v/>
      </c>
    </row>
    <row r="23" ht="18" customHeight="1">
      <c r="B23" s="12">
        <f>IFERROR(INDEX('🗄️ Transactions'!$A$5:$A$200,MATCH(SMALL(IF('🗄️ Transactions'!$Y$5:$Y$200="Active",IF('🗄️ Transactions'!$H$5:$H$200&gt;=TODAY()-1,'🗄️ Transactions'!$H$5:$H$200,9999999)),10),'🗄️ Transactions'!$H$5:$H$200,0)),"—")</f>
        <v/>
      </c>
      <c r="C23" s="12">
        <f>IFERROR(INDEX('🗄️ Transactions'!$C$5:$C$200,MATCH(SMALL(IF('🗄️ Transactions'!$Y$5:$Y$200="Active",IF('🗄️ Transactions'!$H$5:$H$200&gt;=TODAY()-1,'🗄️ Transactions'!$H$5:$H$200,9999999)),10),'🗄️ Transactions'!$H$5:$H$200,0)),"—")</f>
        <v/>
      </c>
      <c r="D23" s="13">
        <f>IFERROR(SMALL(IF('🗄️ Transactions'!$Y$5:$Y$200="Active",IF('🗄️ Transactions'!$H$5:$H$200&gt;=TODAY()-1,'🗄️ Transactions'!$H$5:$H$200,9999999)),10),"—")</f>
        <v/>
      </c>
      <c r="E23" s="14">
        <f>IFERROR(D23-TODAY(),"—")</f>
        <v/>
      </c>
    </row>
    <row r="24" ht="8" customHeight="1"/>
    <row r="25" ht="24" customHeight="1">
      <c r="B25" s="15" t="inlineStr">
        <is>
          <t>🚨  EARNEST MONEY NOT RECEIVED  (EM Holder = HH, but EM Amount &gt; 0)</t>
        </is>
      </c>
    </row>
    <row r="26" ht="20" customHeight="1">
      <c r="B26" s="8" t="inlineStr">
        <is>
          <t>Txn ID</t>
        </is>
      </c>
      <c r="C26" s="8" t="inlineStr">
        <is>
          <t>Address</t>
        </is>
      </c>
      <c r="D26" s="8" t="inlineStr">
        <is>
          <t>EM Amount</t>
        </is>
      </c>
      <c r="E26" s="8" t="inlineStr">
        <is>
          <t>Closing Date</t>
        </is>
      </c>
    </row>
    <row r="27" ht="18" customHeight="1">
      <c r="B27" s="9">
        <f>IFERROR(INDEX('🗄️ Transactions'!$A$5:$A$200,SMALL(IF(('🗄️ Transactions'!$Q$5:$Q$200="HH")*('🗄️ Transactions'!$P$5:$P$200&gt;0)*('🗄️ Transactions'!$Y$5:$Y$200="Active"),ROW('🗄️ Transactions'!$A$5:$A$200)-ROW('🗄️ Transactions'!$A$5)+1),1)),"—")</f>
        <v/>
      </c>
      <c r="C27" s="9">
        <f>IFERROR(INDEX('🗄️ Transactions'!$C$5:$C$200,SMALL(IF(('🗄️ Transactions'!$Q$5:$Q$200="HH")*('🗄️ Transactions'!$P$5:$P$200&gt;0)*('🗄️ Transactions'!$Y$5:$Y$200="Active"),ROW('🗄️ Transactions'!$A$5:$A$200)-ROW('🗄️ Transactions'!$A$5)+1),1)),"—")</f>
        <v/>
      </c>
      <c r="D27" s="16">
        <f>IFERROR(INDEX('🗄️ Transactions'!$P$5:$P$200,SMALL(IF(('🗄️ Transactions'!$Q$5:$Q$200="HH")*('🗄️ Transactions'!$P$5:$P$200&gt;0)*('🗄️ Transactions'!$Y$5:$Y$200="Active"),ROW('🗄️ Transactions'!$A$5:$A$200)-ROW('🗄️ Transactions'!$A$5)+1),1)),"—")</f>
        <v/>
      </c>
      <c r="E27" s="10">
        <f>IFERROR(INDEX('🗄️ Transactions'!$H$5:$H$200,SMALL(IF(('🗄️ Transactions'!$Q$5:$Q$200="HH")*('🗄️ Transactions'!$P$5:$P$200&gt;0)*('🗄️ Transactions'!$Y$5:$Y$200="Active"),ROW('🗄️ Transactions'!$A$5:$A$200)-ROW('🗄️ Transactions'!$A$5)+1),1)),"—")</f>
        <v/>
      </c>
    </row>
    <row r="28" ht="18" customHeight="1">
      <c r="B28" s="12">
        <f>IFERROR(INDEX('🗄️ Transactions'!$A$5:$A$200,SMALL(IF(('🗄️ Transactions'!$Q$5:$Q$200="HH")*('🗄️ Transactions'!$P$5:$P$200&gt;0)*('🗄️ Transactions'!$Y$5:$Y$200="Active"),ROW('🗄️ Transactions'!$A$5:$A$200)-ROW('🗄️ Transactions'!$A$5)+1),2)),"—")</f>
        <v/>
      </c>
      <c r="C28" s="12">
        <f>IFERROR(INDEX('🗄️ Transactions'!$C$5:$C$200,SMALL(IF(('🗄️ Transactions'!$Q$5:$Q$200="HH")*('🗄️ Transactions'!$P$5:$P$200&gt;0)*('🗄️ Transactions'!$Y$5:$Y$200="Active"),ROW('🗄️ Transactions'!$A$5:$A$200)-ROW('🗄️ Transactions'!$A$5)+1),2)),"—")</f>
        <v/>
      </c>
      <c r="D28" s="17">
        <f>IFERROR(INDEX('🗄️ Transactions'!$P$5:$P$200,SMALL(IF(('🗄️ Transactions'!$Q$5:$Q$200="HH")*('🗄️ Transactions'!$P$5:$P$200&gt;0)*('🗄️ Transactions'!$Y$5:$Y$200="Active"),ROW('🗄️ Transactions'!$A$5:$A$200)-ROW('🗄️ Transactions'!$A$5)+1),2)),"—")</f>
        <v/>
      </c>
      <c r="E28" s="13">
        <f>IFERROR(INDEX('🗄️ Transactions'!$H$5:$H$200,SMALL(IF(('🗄️ Transactions'!$Q$5:$Q$200="HH")*('🗄️ Transactions'!$P$5:$P$200&gt;0)*('🗄️ Transactions'!$Y$5:$Y$200="Active"),ROW('🗄️ Transactions'!$A$5:$A$200)-ROW('🗄️ Transactions'!$A$5)+1),2)),"—")</f>
        <v/>
      </c>
    </row>
    <row r="29" ht="18" customHeight="1">
      <c r="B29" s="9">
        <f>IFERROR(INDEX('🗄️ Transactions'!$A$5:$A$200,SMALL(IF(('🗄️ Transactions'!$Q$5:$Q$200="HH")*('🗄️ Transactions'!$P$5:$P$200&gt;0)*('🗄️ Transactions'!$Y$5:$Y$200="Active"),ROW('🗄️ Transactions'!$A$5:$A$200)-ROW('🗄️ Transactions'!$A$5)+1),3)),"—")</f>
        <v/>
      </c>
      <c r="C29" s="9">
        <f>IFERROR(INDEX('🗄️ Transactions'!$C$5:$C$200,SMALL(IF(('🗄️ Transactions'!$Q$5:$Q$200="HH")*('🗄️ Transactions'!$P$5:$P$200&gt;0)*('🗄️ Transactions'!$Y$5:$Y$200="Active"),ROW('🗄️ Transactions'!$A$5:$A$200)-ROW('🗄️ Transactions'!$A$5)+1),3)),"—")</f>
        <v/>
      </c>
      <c r="D29" s="16">
        <f>IFERROR(INDEX('🗄️ Transactions'!$P$5:$P$200,SMALL(IF(('🗄️ Transactions'!$Q$5:$Q$200="HH")*('🗄️ Transactions'!$P$5:$P$200&gt;0)*('🗄️ Transactions'!$Y$5:$Y$200="Active"),ROW('🗄️ Transactions'!$A$5:$A$200)-ROW('🗄️ Transactions'!$A$5)+1),3)),"—")</f>
        <v/>
      </c>
      <c r="E29" s="10">
        <f>IFERROR(INDEX('🗄️ Transactions'!$H$5:$H$200,SMALL(IF(('🗄️ Transactions'!$Q$5:$Q$200="HH")*('🗄️ Transactions'!$P$5:$P$200&gt;0)*('🗄️ Transactions'!$Y$5:$Y$200="Active"),ROW('🗄️ Transactions'!$A$5:$A$200)-ROW('🗄️ Transactions'!$A$5)+1),3)),"—")</f>
        <v/>
      </c>
    </row>
    <row r="30" ht="18" customHeight="1">
      <c r="B30" s="12">
        <f>IFERROR(INDEX('🗄️ Transactions'!$A$5:$A$200,SMALL(IF(('🗄️ Transactions'!$Q$5:$Q$200="HH")*('🗄️ Transactions'!$P$5:$P$200&gt;0)*('🗄️ Transactions'!$Y$5:$Y$200="Active"),ROW('🗄️ Transactions'!$A$5:$A$200)-ROW('🗄️ Transactions'!$A$5)+1),4)),"—")</f>
        <v/>
      </c>
      <c r="C30" s="12">
        <f>IFERROR(INDEX('🗄️ Transactions'!$C$5:$C$200,SMALL(IF(('🗄️ Transactions'!$Q$5:$Q$200="HH")*('🗄️ Transactions'!$P$5:$P$200&gt;0)*('🗄️ Transactions'!$Y$5:$Y$200="Active"),ROW('🗄️ Transactions'!$A$5:$A$200)-ROW('🗄️ Transactions'!$A$5)+1),4)),"—")</f>
        <v/>
      </c>
      <c r="D30" s="17">
        <f>IFERROR(INDEX('🗄️ Transactions'!$P$5:$P$200,SMALL(IF(('🗄️ Transactions'!$Q$5:$Q$200="HH")*('🗄️ Transactions'!$P$5:$P$200&gt;0)*('🗄️ Transactions'!$Y$5:$Y$200="Active"),ROW('🗄️ Transactions'!$A$5:$A$200)-ROW('🗄️ Transactions'!$A$5)+1),4)),"—")</f>
        <v/>
      </c>
      <c r="E30" s="13">
        <f>IFERROR(INDEX('🗄️ Transactions'!$H$5:$H$200,SMALL(IF(('🗄️ Transactions'!$Q$5:$Q$200="HH")*('🗄️ Transactions'!$P$5:$P$200&gt;0)*('🗄️ Transactions'!$Y$5:$Y$200="Active"),ROW('🗄️ Transactions'!$A$5:$A$200)-ROW('🗄️ Transactions'!$A$5)+1),4)),"—")</f>
        <v/>
      </c>
    </row>
    <row r="31" ht="18" customHeight="1">
      <c r="B31" s="9">
        <f>IFERROR(INDEX('🗄️ Transactions'!$A$5:$A$200,SMALL(IF(('🗄️ Transactions'!$Q$5:$Q$200="HH")*('🗄️ Transactions'!$P$5:$P$200&gt;0)*('🗄️ Transactions'!$Y$5:$Y$200="Active"),ROW('🗄️ Transactions'!$A$5:$A$200)-ROW('🗄️ Transactions'!$A$5)+1),5)),"—")</f>
        <v/>
      </c>
      <c r="C31" s="9">
        <f>IFERROR(INDEX('🗄️ Transactions'!$C$5:$C$200,SMALL(IF(('🗄️ Transactions'!$Q$5:$Q$200="HH")*('🗄️ Transactions'!$P$5:$P$200&gt;0)*('🗄️ Transactions'!$Y$5:$Y$200="Active"),ROW('🗄️ Transactions'!$A$5:$A$200)-ROW('🗄️ Transactions'!$A$5)+1),5)),"—")</f>
        <v/>
      </c>
      <c r="D31" s="16">
        <f>IFERROR(INDEX('🗄️ Transactions'!$P$5:$P$200,SMALL(IF(('🗄️ Transactions'!$Q$5:$Q$200="HH")*('🗄️ Transactions'!$P$5:$P$200&gt;0)*('🗄️ Transactions'!$Y$5:$Y$200="Active"),ROW('🗄️ Transactions'!$A$5:$A$200)-ROW('🗄️ Transactions'!$A$5)+1),5)),"—")</f>
        <v/>
      </c>
      <c r="E31" s="10">
        <f>IFERROR(INDEX('🗄️ Transactions'!$H$5:$H$200,SMALL(IF(('🗄️ Transactions'!$Q$5:$Q$200="HH")*('🗄️ Transactions'!$P$5:$P$200&gt;0)*('🗄️ Transactions'!$Y$5:$Y$200="Active"),ROW('🗄️ Transactions'!$A$5:$A$200)-ROW('🗄️ Transactions'!$A$5)+1),5)),"—")</f>
        <v/>
      </c>
    </row>
    <row r="32" ht="18" customHeight="1">
      <c r="B32" s="12">
        <f>IFERROR(INDEX('🗄️ Transactions'!$A$5:$A$200,SMALL(IF(('🗄️ Transactions'!$Q$5:$Q$200="HH")*('🗄️ Transactions'!$P$5:$P$200&gt;0)*('🗄️ Transactions'!$Y$5:$Y$200="Active"),ROW('🗄️ Transactions'!$A$5:$A$200)-ROW('🗄️ Transactions'!$A$5)+1),6)),"—")</f>
        <v/>
      </c>
      <c r="C32" s="12">
        <f>IFERROR(INDEX('🗄️ Transactions'!$C$5:$C$200,SMALL(IF(('🗄️ Transactions'!$Q$5:$Q$200="HH")*('🗄️ Transactions'!$P$5:$P$200&gt;0)*('🗄️ Transactions'!$Y$5:$Y$200="Active"),ROW('🗄️ Transactions'!$A$5:$A$200)-ROW('🗄️ Transactions'!$A$5)+1),6)),"—")</f>
        <v/>
      </c>
      <c r="D32" s="17">
        <f>IFERROR(INDEX('🗄️ Transactions'!$P$5:$P$200,SMALL(IF(('🗄️ Transactions'!$Q$5:$Q$200="HH")*('🗄️ Transactions'!$P$5:$P$200&gt;0)*('🗄️ Transactions'!$Y$5:$Y$200="Active"),ROW('🗄️ Transactions'!$A$5:$A$200)-ROW('🗄️ Transactions'!$A$5)+1),6)),"—")</f>
        <v/>
      </c>
      <c r="E32" s="13">
        <f>IFERROR(INDEX('🗄️ Transactions'!$H$5:$H$200,SMALL(IF(('🗄️ Transactions'!$Q$5:$Q$200="HH")*('🗄️ Transactions'!$P$5:$P$200&gt;0)*('🗄️ Transactions'!$Y$5:$Y$200="Active"),ROW('🗄️ Transactions'!$A$5:$A$200)-ROW('🗄️ Transactions'!$A$5)+1),6)),"—")</f>
        <v/>
      </c>
    </row>
    <row r="33" ht="18" customHeight="1">
      <c r="B33" s="9">
        <f>IFERROR(INDEX('🗄️ Transactions'!$A$5:$A$200,SMALL(IF(('🗄️ Transactions'!$Q$5:$Q$200="HH")*('🗄️ Transactions'!$P$5:$P$200&gt;0)*('🗄️ Transactions'!$Y$5:$Y$200="Active"),ROW('🗄️ Transactions'!$A$5:$A$200)-ROW('🗄️ Transactions'!$A$5)+1),7)),"—")</f>
        <v/>
      </c>
      <c r="C33" s="9">
        <f>IFERROR(INDEX('🗄️ Transactions'!$C$5:$C$200,SMALL(IF(('🗄️ Transactions'!$Q$5:$Q$200="HH")*('🗄️ Transactions'!$P$5:$P$200&gt;0)*('🗄️ Transactions'!$Y$5:$Y$200="Active"),ROW('🗄️ Transactions'!$A$5:$A$200)-ROW('🗄️ Transactions'!$A$5)+1),7)),"—")</f>
        <v/>
      </c>
      <c r="D33" s="16">
        <f>IFERROR(INDEX('🗄️ Transactions'!$P$5:$P$200,SMALL(IF(('🗄️ Transactions'!$Q$5:$Q$200="HH")*('🗄️ Transactions'!$P$5:$P$200&gt;0)*('🗄️ Transactions'!$Y$5:$Y$200="Active"),ROW('🗄️ Transactions'!$A$5:$A$200)-ROW('🗄️ Transactions'!$A$5)+1),7)),"—")</f>
        <v/>
      </c>
      <c r="E33" s="10">
        <f>IFERROR(INDEX('🗄️ Transactions'!$H$5:$H$200,SMALL(IF(('🗄️ Transactions'!$Q$5:$Q$200="HH")*('🗄️ Transactions'!$P$5:$P$200&gt;0)*('🗄️ Transactions'!$Y$5:$Y$200="Active"),ROW('🗄️ Transactions'!$A$5:$A$200)-ROW('🗄️ Transactions'!$A$5)+1),7)),"—")</f>
        <v/>
      </c>
    </row>
    <row r="34" ht="18" customHeight="1">
      <c r="B34" s="12">
        <f>IFERROR(INDEX('🗄️ Transactions'!$A$5:$A$200,SMALL(IF(('🗄️ Transactions'!$Q$5:$Q$200="HH")*('🗄️ Transactions'!$P$5:$P$200&gt;0)*('🗄️ Transactions'!$Y$5:$Y$200="Active"),ROW('🗄️ Transactions'!$A$5:$A$200)-ROW('🗄️ Transactions'!$A$5)+1),8)),"—")</f>
        <v/>
      </c>
      <c r="C34" s="12">
        <f>IFERROR(INDEX('🗄️ Transactions'!$C$5:$C$200,SMALL(IF(('🗄️ Transactions'!$Q$5:$Q$200="HH")*('🗄️ Transactions'!$P$5:$P$200&gt;0)*('🗄️ Transactions'!$Y$5:$Y$200="Active"),ROW('🗄️ Transactions'!$A$5:$A$200)-ROW('🗄️ Transactions'!$A$5)+1),8)),"—")</f>
        <v/>
      </c>
      <c r="D34" s="17">
        <f>IFERROR(INDEX('🗄️ Transactions'!$P$5:$P$200,SMALL(IF(('🗄️ Transactions'!$Q$5:$Q$200="HH")*('🗄️ Transactions'!$P$5:$P$200&gt;0)*('🗄️ Transactions'!$Y$5:$Y$200="Active"),ROW('🗄️ Transactions'!$A$5:$A$200)-ROW('🗄️ Transactions'!$A$5)+1),8)),"—")</f>
        <v/>
      </c>
      <c r="E34" s="13">
        <f>IFERROR(INDEX('🗄️ Transactions'!$H$5:$H$200,SMALL(IF(('🗄️ Transactions'!$Q$5:$Q$200="HH")*('🗄️ Transactions'!$P$5:$P$200&gt;0)*('🗄️ Transactions'!$Y$5:$Y$200="Active"),ROW('🗄️ Transactions'!$A$5:$A$200)-ROW('🗄️ Transactions'!$A$5)+1),8)),"—")</f>
        <v/>
      </c>
    </row>
    <row r="35" ht="8" customHeight="1"/>
    <row r="36" ht="24" customHeight="1">
      <c r="B36" s="7" t="inlineStr">
        <is>
          <t>💼  HH REVENUE SUMMARY  (Active Transactions)</t>
        </is>
      </c>
    </row>
    <row r="37" ht="20" customHeight="1">
      <c r="B37" s="8" t="inlineStr">
        <is>
          <t>Metric</t>
        </is>
      </c>
      <c r="C37" s="8" t="inlineStr">
        <is>
          <t>Amount</t>
        </is>
      </c>
      <c r="D37" s="8" t="inlineStr">
        <is>
          <t>Count</t>
        </is>
      </c>
      <c r="E37" s="8" t="inlineStr">
        <is>
          <t>Avg/Transaction</t>
        </is>
      </c>
    </row>
    <row r="38" ht="20" customHeight="1">
      <c r="B38" s="18" t="inlineStr">
        <is>
          <t>Total HH Revenue (Active)</t>
        </is>
      </c>
      <c r="C38" s="19">
        <f>SUMIF('🗄️ Transactions'!Y5:Y200,"Active",'🗄️ Transactions'!AI5:AI200)</f>
        <v/>
      </c>
      <c r="D38" s="20">
        <f>COUNTIF('🗄️ Transactions'!Y5:Y200,"Active")</f>
        <v/>
      </c>
      <c r="E38" s="21">
        <f>IFERROR(C38/D38,"—")</f>
        <v/>
      </c>
    </row>
    <row r="39" ht="20" customHeight="1">
      <c r="B39" s="22" t="inlineStr">
        <is>
          <t>Total Commission Generated</t>
        </is>
      </c>
      <c r="C39" s="23">
        <f>SUMIF('🗄️ Transactions'!Y5:Y200,"Active",'🗄️ Transactions'!AE5:AE200)</f>
        <v/>
      </c>
      <c r="D39" s="24">
        <f>COUNTIF('🗄️ Transactions'!Y5:Y200,"Active")</f>
        <v/>
      </c>
      <c r="E39" s="23">
        <f>IFERROR(C39/D39,"—")</f>
        <v/>
      </c>
    </row>
    <row r="40" ht="20" customHeight="1">
      <c r="B40" s="25" t="inlineStr">
        <is>
          <t>Total Sale Value (Active)</t>
        </is>
      </c>
      <c r="C40" s="26">
        <f>SUMIF('🗄️ Transactions'!Y5:Y200,"Active",'🗄️ Transactions'!F5:F200)</f>
        <v/>
      </c>
      <c r="D40" s="27">
        <f>COUNTIF('🗄️ Transactions'!Y5:Y200,"Active")</f>
        <v/>
      </c>
      <c r="E40" s="26">
        <f>IFERROR(C40/D40,"—")</f>
        <v/>
      </c>
    </row>
    <row r="41" ht="20" customHeight="1">
      <c r="B41" s="22" t="inlineStr">
        <is>
          <t>HH Listing Revenue</t>
        </is>
      </c>
      <c r="C41" s="23">
        <f>SUMPRODUCT(('🗄️ Transactions'!Y5:Y200="Active")*('🗄️ Transactions'!AB5:AB200="Yes"),'🗄️ Transactions'!AG5:AG200)</f>
        <v/>
      </c>
      <c r="D41" s="24">
        <f>COUNTIFS('🗄️ Transactions'!Y5:Y200,"Active",'🗄️ Transactions'!AB5:AB200,"Yes")</f>
        <v/>
      </c>
      <c r="E41" s="23">
        <f>IFERROR(C41/D41,"—")</f>
        <v/>
      </c>
    </row>
    <row r="42" ht="20" customHeight="1">
      <c r="B42" s="25" t="inlineStr">
        <is>
          <t>HH Sale Revenue</t>
        </is>
      </c>
      <c r="C42" s="26">
        <f>SUMPRODUCT(('🗄️ Transactions'!Y5:Y200="Active")*('🗄️ Transactions'!AC5:AC200="Yes"),'🗄️ Transactions'!AH5:AH200)</f>
        <v/>
      </c>
      <c r="D42" s="27">
        <f>COUNTIFS('🗄️ Transactions'!Y5:Y200,"Active",'🗄️ Transactions'!AC5:AC200,"Yes")</f>
        <v/>
      </c>
      <c r="E42" s="26">
        <f>IFERROR(C42/D42,"—")</f>
        <v/>
      </c>
    </row>
    <row r="43" ht="20" customHeight="1">
      <c r="B43" s="22" t="inlineStr">
        <is>
          <t>Flat Fee Revenue</t>
        </is>
      </c>
      <c r="C43" s="23">
        <f>SUMPRODUCT(('🗄️ Transactions'!Y5:Y200="Active")*('🗄️ Transactions'!U5:U200="Yes"),'🗄️ Transactions'!AF5:AF200)</f>
        <v/>
      </c>
      <c r="D43" s="24">
        <f>COUNTIFS('🗄️ Transactions'!Y5:Y200,"Active",'🗄️ Transactions'!U5:U200,"Yes")</f>
        <v/>
      </c>
      <c r="E43" s="23">
        <f>IFERROR(C43/D43,"—")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B13"/>
  <mergeCells count="6">
    <mergeCell ref="A2:F2"/>
    <mergeCell ref="B12:F12"/>
    <mergeCell ref="A1:F1"/>
    <mergeCell ref="B25:F25"/>
    <mergeCell ref="B36:F36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B942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2" customWidth="1" min="3" max="3"/>
    <col width="3" customWidth="1" min="4" max="4"/>
    <col width="28" customWidth="1" min="5" max="5"/>
    <col width="32" customWidth="1" min="6" max="6"/>
    <col width="3" customWidth="1" min="7" max="7"/>
  </cols>
  <sheetData>
    <row r="1" ht="36" customHeight="1">
      <c r="A1" s="28" t="inlineStr">
        <is>
          <t>🏠  NEW TRANSACTION ENTRY FORM  —  Fill in the yellow fields, then add to Transactions sheet</t>
        </is>
      </c>
    </row>
    <row r="2" ht="20" customHeight="1">
      <c r="A2" s="29" t="inlineStr">
        <is>
          <t>★ = Required field   |   Fill ALL starred fields before saving   |   Blue cells = auto-filled, do not edit</t>
        </is>
      </c>
    </row>
    <row r="4" ht="22" customHeight="1">
      <c r="B4" s="30" t="inlineStr">
        <is>
          <t>📋  SYSTEM INFORMATION  (auto-filled, do not edit)</t>
        </is>
      </c>
    </row>
    <row r="5" ht="24" customHeight="1">
      <c r="B5" s="31" t="inlineStr">
        <is>
          <t>Transaction ID</t>
        </is>
      </c>
      <c r="C5" s="32">
        <f>TEXT(YEAR(TODAY()),"0000")&amp;"-"&amp;TEXT(COUNTA('🗄️ Transactions'!A:A)-3,"000")</f>
        <v/>
      </c>
      <c r="E5" s="31" t="inlineStr">
        <is>
          <t>Entry Date</t>
        </is>
      </c>
      <c r="F5" s="33">
        <f>TODAY()</f>
        <v/>
      </c>
    </row>
    <row r="7" ht="22" customHeight="1">
      <c r="B7" s="7" t="inlineStr">
        <is>
          <t>🏠  PROPERTY INFORMATION</t>
        </is>
      </c>
    </row>
    <row r="8" ht="24" customHeight="1">
      <c r="B8" s="31" t="inlineStr">
        <is>
          <t>★  Address (Street, City Zip)</t>
        </is>
      </c>
      <c r="C8" s="34" t="n"/>
      <c r="E8" s="31" t="inlineStr">
        <is>
          <t>★  Closing Date</t>
        </is>
      </c>
      <c r="F8" s="35" t="n"/>
    </row>
    <row r="9" ht="24" customHeight="1">
      <c r="B9" s="31" t="inlineStr">
        <is>
          <t>★  List Price ($)</t>
        </is>
      </c>
      <c r="C9" s="36" t="n"/>
      <c r="E9" s="31" t="inlineStr">
        <is>
          <t>Sale Price ($)</t>
        </is>
      </c>
      <c r="F9" s="36" t="n"/>
    </row>
    <row r="10" ht="24" customHeight="1">
      <c r="B10" s="31" t="inlineStr">
        <is>
          <t>Offer Accepted Date</t>
        </is>
      </c>
      <c r="C10" s="35" t="n"/>
      <c r="E10" s="31" t="inlineStr">
        <is>
          <t>Sign # (if our listing)</t>
        </is>
      </c>
      <c r="F10" s="34" t="n"/>
    </row>
    <row r="11" ht="24" customHeight="1">
      <c r="B11" s="31" t="inlineStr">
        <is>
          <t>★  Loan Type (dropdown ↓)</t>
        </is>
      </c>
      <c r="C11" s="34" t="n"/>
      <c r="E11" s="31" t="inlineStr">
        <is>
          <t>Concessions ($)</t>
        </is>
      </c>
      <c r="F11" s="36" t="n"/>
    </row>
    <row r="13" ht="22" customHeight="1">
      <c r="B13" s="7" t="inlineStr">
        <is>
          <t>👤  AGENT &amp; COMMISSION</t>
        </is>
      </c>
    </row>
    <row r="14" ht="24" customHeight="1">
      <c r="B14" s="31" t="inlineStr">
        <is>
          <t>★  List Agent (dropdown ↓)</t>
        </is>
      </c>
      <c r="C14" s="34" t="n"/>
      <c r="E14" s="31" t="inlineStr">
        <is>
          <t>★  Sell Agent (dropdown ↓)</t>
        </is>
      </c>
      <c r="F14" s="34" t="n"/>
    </row>
    <row r="15" ht="24" customHeight="1">
      <c r="B15" s="31" t="inlineStr">
        <is>
          <t>Total Comm % (e.g. 0.06)</t>
        </is>
      </c>
      <c r="C15" s="37" t="n"/>
      <c r="E15" s="31" t="inlineStr">
        <is>
          <t>Listing Side % (e.g. 0.03)</t>
        </is>
      </c>
      <c r="F15" s="37" t="n"/>
    </row>
    <row r="16" ht="24" customHeight="1">
      <c r="B16" s="31" t="inlineStr">
        <is>
          <t>Flat Comm Amount (if flat fee)</t>
        </is>
      </c>
      <c r="C16" s="38" t="n"/>
      <c r="E16" s="31" t="inlineStr">
        <is>
          <t>Flat Fee Add-On?</t>
        </is>
      </c>
      <c r="F16" s="34" t="n"/>
    </row>
    <row r="19" ht="22" customHeight="1">
      <c r="B19" s="7" t="inlineStr">
        <is>
          <t>💰  EARNEST MONEY &amp; HOME WARRANTY</t>
        </is>
      </c>
    </row>
    <row r="20" ht="24" customHeight="1">
      <c r="B20" s="31" t="inlineStr">
        <is>
          <t>Earnest Money Amount ($)</t>
        </is>
      </c>
      <c r="C20" s="36" t="n"/>
      <c r="E20" s="31" t="inlineStr">
        <is>
          <t>EM Holder (dropdown ↓)</t>
        </is>
      </c>
      <c r="F20" s="34" t="n"/>
    </row>
    <row r="21" ht="24" customHeight="1">
      <c r="B21" s="31" t="inlineStr">
        <is>
          <t>Home Warranty? (Yes/No)</t>
        </is>
      </c>
      <c r="C21" s="34" t="n"/>
      <c r="E21" s="31" t="inlineStr">
        <is>
          <t>HW Payer (dropdown ↓)</t>
        </is>
      </c>
      <c r="F21" s="34" t="n"/>
    </row>
    <row r="22" ht="24" customHeight="1">
      <c r="B22" s="31" t="inlineStr">
        <is>
          <t>HSA? (Yes/No)</t>
        </is>
      </c>
      <c r="C22" s="34" t="n"/>
      <c r="E22" s="31" t="inlineStr">
        <is>
          <t>Title Company</t>
        </is>
      </c>
      <c r="F22" s="34" t="n"/>
    </row>
    <row r="25" ht="22" customHeight="1">
      <c r="B25" s="7" t="inlineStr">
        <is>
          <t>📝  ADDITIONAL NOTES</t>
        </is>
      </c>
    </row>
    <row r="26" ht="48" customHeight="1">
      <c r="B26" s="39" t="n"/>
    </row>
    <row r="28" ht="22" customHeight="1">
      <c r="B28" s="40" t="inlineStr">
        <is>
          <t>📌  HOW TO ADD THIS TRANSACTION</t>
        </is>
      </c>
    </row>
    <row r="29" ht="90" customHeight="1">
      <c r="B29" s="41" t="inlineStr">
        <is>
          <t>1.  Fill in all yellow cells above (★ = required).
2.  Go to the '🗄️ Transactions' sheet.
3.  Scroll to the first EMPTY row at the bottom.
4.  Copy each value from this form into the matching column.
5.  Return here and press Ctrl+Z multiple times to clear the form for next use,
    OR simply type over the values with the next transaction's information.</t>
        </is>
      </c>
    </row>
    <row r="30"/>
    <row r="31"/>
  </sheetData>
  <sheetProtection selectLockedCells="1" selectUnlockedCells="1" sheet="1" objects="0" insertRows="1" insertHyperlinks="0" autoFilter="1" scenarios="0" formatColumns="0" deleteColumns="0" insertColumns="0" pivotTables="1" deleteRows="1" formatCells="0" formatRows="0" sort="1" password="CB13"/>
  <mergeCells count="10">
    <mergeCell ref="B4:F4"/>
    <mergeCell ref="B7:F7"/>
    <mergeCell ref="A1:G1"/>
    <mergeCell ref="B29:F31"/>
    <mergeCell ref="B25:F25"/>
    <mergeCell ref="B28:F28"/>
    <mergeCell ref="B19:F19"/>
    <mergeCell ref="A2:G2"/>
    <mergeCell ref="B26:F26"/>
    <mergeCell ref="B13:F13"/>
  </mergeCells>
  <dataValidations count="8">
    <dataValidation sqref="C11" showDropDown="0" showInputMessage="0" showErrorMessage="0" allowBlank="1" type="list">
      <formula1>"CONV,FHA,VA,CASH,New Const,Eq. Ln,Other"</formula1>
    </dataValidation>
    <dataValidation sqref="C14" showDropDown="0" showInputMessage="0" showErrorMessage="0" allowBlank="1" type="list">
      <formula1>AgentNameList</formula1>
    </dataValidation>
    <dataValidation sqref="F14" showDropDown="0" showInputMessage="0" showErrorMessage="0" allowBlank="1" type="list">
      <formula1>AgentNameList</formula1>
    </dataValidation>
    <dataValidation sqref="C17" showDropDown="0" showInputMessage="0" showErrorMessage="0" allowBlank="1" type="list">
      <formula1>"Yes,No"</formula1>
    </dataValidation>
    <dataValidation sqref="F20" showDropDown="0" showInputMessage="0" showErrorMessage="0" allowBlank="1" type="list">
      <formula1>"HH,Title,CoBroke,Buyer,Seller,N/A,Other"</formula1>
    </dataValidation>
    <dataValidation sqref="C21" showDropDown="0" showInputMessage="0" showErrorMessage="0" allowBlank="1" type="list">
      <formula1>"Yes,No"</formula1>
    </dataValidation>
    <dataValidation sqref="F21" showDropDown="0" showInputMessage="0" showErrorMessage="0" allowBlank="1" type="list">
      <formula1>"Seller,Buyer,Split,Other,N/A"</formula1>
    </dataValidation>
    <dataValidation sqref="C2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AJ2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8" customWidth="1" min="3" max="3"/>
    <col width="10" customWidth="1" min="4" max="4"/>
    <col width="13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24" customWidth="1" min="11" max="11"/>
    <col width="24" customWidth="1" min="12" max="12"/>
    <col width="11" customWidth="1" min="13" max="13"/>
    <col width="14" customWidth="1" min="14" max="14"/>
    <col width="13" customWidth="1" min="15" max="15"/>
    <col width="11" customWidth="1" min="16" max="16"/>
    <col width="10" customWidth="1" min="17" max="17"/>
    <col width="13" customWidth="1" min="18" max="18"/>
    <col width="8" customWidth="1" min="19" max="19"/>
    <col width="10" customWidth="1" min="20" max="20"/>
    <col width="9" customWidth="1" min="21" max="21"/>
    <col width="22" customWidth="1" min="22" max="22"/>
    <col width="20" customWidth="1" min="23" max="23"/>
    <col width="28" customWidth="1" min="24" max="24"/>
    <col width="10" customWidth="1" min="25" max="25"/>
    <col width="16" customWidth="1" min="26" max="26"/>
    <col width="16" customWidth="1" min="27" max="27"/>
    <col width="10" customWidth="1" min="28" max="28"/>
    <col width="9" customWidth="1" min="29" max="29"/>
    <col width="12" customWidth="1" min="30" max="30"/>
    <col width="14" customWidth="1" min="31" max="31"/>
    <col width="12" customWidth="1" min="32" max="32"/>
    <col width="14" customWidth="1" min="33" max="33"/>
    <col width="14" customWidth="1" min="34" max="34"/>
    <col width="12" customWidth="1" min="35" max="35"/>
    <col width="28" customWidth="1" min="36" max="36"/>
  </cols>
  <sheetData>
    <row r="1" ht="32" customHeight="1">
      <c r="A1" s="28" t="inlineStr">
        <is>
          <t>🗄️  HH REALTY — TRANSACTION REGISTER  ·  All active, closed and BOMB transactions</t>
        </is>
      </c>
    </row>
    <row r="2" ht="18" customHeight="1">
      <c r="A2" s="42" t="inlineStr">
        <is>
          <t>🟡 YELLOW = Type here     🔵 BLUE = Auto-calculated (do not edit)     ⚪ GREY = Locked system field</t>
        </is>
      </c>
      <c r="Z2" s="43" t="inlineStr">
        <is>
          <t>◀  CALCULATED COLUMNS  —  Do Not Edit</t>
        </is>
      </c>
    </row>
    <row r="3" ht="16" customHeight="1">
      <c r="A3" s="44" t="inlineStr">
        <is>
          <t>SYSTEM</t>
        </is>
      </c>
      <c r="C3" s="45" t="inlineStr">
        <is>
          <t>◀  INPUT FIELDS — Type in the yellow cells  ▶</t>
        </is>
      </c>
      <c r="Z3" s="46" t="inlineStr">
        <is>
          <t>◀  AUTO-CALCULATED — Do not edit  ▶</t>
        </is>
      </c>
    </row>
    <row r="4" ht="32" customHeight="1">
      <c r="A4" s="47" t="inlineStr">
        <is>
          <t>Txn ID</t>
        </is>
      </c>
      <c r="B4" s="47" t="inlineStr">
        <is>
          <t>Created</t>
        </is>
      </c>
      <c r="C4" s="48" t="inlineStr">
        <is>
          <t>★ Address</t>
        </is>
      </c>
      <c r="D4" s="48" t="inlineStr">
        <is>
          <t>Sign #</t>
        </is>
      </c>
      <c r="E4" s="48" t="inlineStr">
        <is>
          <t>List Price</t>
        </is>
      </c>
      <c r="F4" s="48" t="inlineStr">
        <is>
          <t>Sale Price</t>
        </is>
      </c>
      <c r="G4" s="48" t="inlineStr">
        <is>
          <t>Offer Accepted</t>
        </is>
      </c>
      <c r="H4" s="48" t="inlineStr">
        <is>
          <t>★ Closing Date</t>
        </is>
      </c>
      <c r="I4" s="48" t="inlineStr">
        <is>
          <t>★ Loan Type</t>
        </is>
      </c>
      <c r="J4" s="48" t="inlineStr">
        <is>
          <t>Concessions ($)</t>
        </is>
      </c>
      <c r="K4" s="48" t="inlineStr">
        <is>
          <t>★ List Agent</t>
        </is>
      </c>
      <c r="L4" s="48" t="inlineStr">
        <is>
          <t>★ Sell Agent</t>
        </is>
      </c>
      <c r="M4" s="48" t="inlineStr">
        <is>
          <t>Comm %</t>
        </is>
      </c>
      <c r="N4" s="48" t="inlineStr">
        <is>
          <t>List Side %</t>
        </is>
      </c>
      <c r="O4" s="48" t="inlineStr">
        <is>
          <t>Flat $ Amount</t>
        </is>
      </c>
      <c r="P4" s="48" t="inlineStr">
        <is>
          <t>EM Amount</t>
        </is>
      </c>
      <c r="Q4" s="48" t="inlineStr">
        <is>
          <t>EM Holder</t>
        </is>
      </c>
      <c r="R4" s="48" t="inlineStr">
        <is>
          <t>Home Warranty</t>
        </is>
      </c>
      <c r="S4" s="48" t="inlineStr">
        <is>
          <t>HSA</t>
        </is>
      </c>
      <c r="T4" s="48" t="inlineStr">
        <is>
          <t>HW Payer</t>
        </is>
      </c>
      <c r="U4" s="48" t="inlineStr">
        <is>
          <t>Flat Fee?</t>
        </is>
      </c>
      <c r="V4" s="48" t="inlineStr">
        <is>
          <t>Title Co.</t>
        </is>
      </c>
      <c r="W4" s="48" t="inlineStr">
        <is>
          <t>Title Contact</t>
        </is>
      </c>
      <c r="X4" s="48" t="inlineStr">
        <is>
          <t>Notes</t>
        </is>
      </c>
      <c r="Y4" s="48" t="inlineStr">
        <is>
          <t>Status</t>
        </is>
      </c>
      <c r="Z4" s="47" t="inlineStr">
        <is>
          <t>List Office</t>
        </is>
      </c>
      <c r="AA4" s="47" t="inlineStr">
        <is>
          <t>Sell Office</t>
        </is>
      </c>
      <c r="AB4" s="47" t="inlineStr">
        <is>
          <t>HH Listing?</t>
        </is>
      </c>
      <c r="AC4" s="47" t="inlineStr">
        <is>
          <t>HH Sale?</t>
        </is>
      </c>
      <c r="AD4" s="47" t="inlineStr">
        <is>
          <t>Sale Comm %</t>
        </is>
      </c>
      <c r="AE4" s="47" t="inlineStr">
        <is>
          <t>Total Comm</t>
        </is>
      </c>
      <c r="AF4" s="47" t="inlineStr">
        <is>
          <t>Flat Fee Amt</t>
        </is>
      </c>
      <c r="AG4" s="47" t="inlineStr">
        <is>
          <t>Listing Side</t>
        </is>
      </c>
      <c r="AH4" s="47" t="inlineStr">
        <is>
          <t>Sale Side</t>
        </is>
      </c>
      <c r="AI4" s="47" t="inlineStr">
        <is>
          <t>HH Revenue</t>
        </is>
      </c>
      <c r="AJ4" s="47" t="inlineStr">
        <is>
          <t>Comm Check</t>
        </is>
      </c>
    </row>
    <row r="5" ht="18" customHeight="1">
      <c r="A5" s="49" t="inlineStr">
        <is>
          <t>2026-001</t>
        </is>
      </c>
      <c r="B5" s="50" t="n">
        <v>46079</v>
      </c>
      <c r="C5" s="51" t="inlineStr">
        <is>
          <t>998 Barn Swallow, Wadsworth 44281</t>
        </is>
      </c>
      <c r="D5" s="52" t="n"/>
      <c r="E5" s="53" t="n"/>
      <c r="F5" s="53" t="n">
        <v>617785</v>
      </c>
      <c r="G5" s="54" t="n"/>
      <c r="H5" s="54" t="n">
        <v>46096</v>
      </c>
      <c r="I5" s="55" t="inlineStr">
        <is>
          <t>New Const</t>
        </is>
      </c>
      <c r="J5" s="53" t="n">
        <v>0</v>
      </c>
      <c r="K5" s="51" t="inlineStr">
        <is>
          <t>Pulte Homes</t>
        </is>
      </c>
      <c r="L5" s="51" t="inlineStr">
        <is>
          <t>Kelly Watts</t>
        </is>
      </c>
      <c r="M5" s="56" t="n">
        <v>0.02</v>
      </c>
      <c r="N5" s="56" t="n">
        <v>0</v>
      </c>
      <c r="O5" s="57" t="n"/>
      <c r="P5" s="53" t="n"/>
      <c r="Q5" s="55" t="n"/>
      <c r="R5" s="55" t="n"/>
      <c r="S5" s="55" t="n"/>
      <c r="T5" s="55" t="n"/>
      <c r="U5" s="55" t="inlineStr">
        <is>
          <t>Yes</t>
        </is>
      </c>
      <c r="V5" s="51" t="n"/>
      <c r="W5" s="51" t="n"/>
      <c r="X5" s="51" t="n"/>
      <c r="Y5" s="55" t="inlineStr">
        <is>
          <t>Active</t>
        </is>
      </c>
      <c r="Z5" s="58">
        <f>IFERROR(VLOOKUP(K5,'👤 Agents'!$C$4:$D$200,2,FALSE),"")</f>
        <v/>
      </c>
      <c r="AA5" s="58">
        <f>IFERROR(VLOOKUP(L5,'👤 Agents'!$C$4:$D$200,2,FALSE),"")</f>
        <v/>
      </c>
      <c r="AB5" s="59">
        <f>IF(Z5="HH","Yes","No")</f>
        <v/>
      </c>
      <c r="AC5" s="59">
        <f>IF(AA5="HH","Yes","No")</f>
        <v/>
      </c>
      <c r="AD5" s="60">
        <f>IFERROR(IF(M5&gt;0,M5-N5,0),0)</f>
        <v/>
      </c>
      <c r="AE5" s="61">
        <f>IFERROR(IF(M5&gt;0,F5*M5,IF(O5&gt;0,O5,0)),0)</f>
        <v/>
      </c>
      <c r="AF5" s="62">
        <f>IF(U5="Yes",399,0)</f>
        <v/>
      </c>
      <c r="AG5" s="61">
        <f>IFERROR(IF(N5&gt;0,F5*N5,IF(AND(AB5="Yes",O5&gt;0),O5/2,0)),0)</f>
        <v/>
      </c>
      <c r="AH5" s="61">
        <f>IFERROR(IF(AD5&gt;0,F5*AD5,IF(AND(AC5="Yes",O5&gt;0),O5/2,0)),0)</f>
        <v/>
      </c>
      <c r="AI5" s="61">
        <f>IF(AB5="Yes",AG5,0)+IF(AC5="Yes",AH5,0)+AF5</f>
        <v/>
      </c>
      <c r="AJ5" s="58">
        <f>IF(AE5=0,"",IF(ABS(AE5-(AG5+AH5))&lt;1,"✓ OK","⚠️ CHECK: Total="&amp;TEXT(AE5,"$#,##0")&amp;" vs Sides="&amp;TEXT(AG5+AH5,"$#,##0")))</f>
        <v/>
      </c>
    </row>
    <row r="6" ht="18" customHeight="1">
      <c r="A6" s="49" t="inlineStr">
        <is>
          <t>2026-002</t>
        </is>
      </c>
      <c r="B6" s="50" t="n">
        <v>46079</v>
      </c>
      <c r="C6" s="51" t="inlineStr">
        <is>
          <t>133 Beck, Wadsworth 44281</t>
        </is>
      </c>
      <c r="D6" s="52" t="n"/>
      <c r="E6" s="53" t="n"/>
      <c r="F6" s="53" t="n">
        <v>85500</v>
      </c>
      <c r="G6" s="54" t="n"/>
      <c r="H6" s="54" t="n">
        <v>46087</v>
      </c>
      <c r="I6" s="55" t="inlineStr">
        <is>
          <t>CASH</t>
        </is>
      </c>
      <c r="J6" s="53" t="n">
        <v>0</v>
      </c>
      <c r="K6" s="51" t="inlineStr">
        <is>
          <t>Barb Lesure</t>
        </is>
      </c>
      <c r="L6" s="51" t="inlineStr">
        <is>
          <t>Ron Ho</t>
        </is>
      </c>
      <c r="M6" s="56" t="n">
        <v>0</v>
      </c>
      <c r="N6" s="56" t="n">
        <v>0</v>
      </c>
      <c r="O6" s="57" t="n">
        <v>2500</v>
      </c>
      <c r="P6" s="53" t="n"/>
      <c r="Q6" s="55" t="n"/>
      <c r="R6" s="55" t="n"/>
      <c r="S6" s="55" t="n"/>
      <c r="T6" s="55" t="n"/>
      <c r="U6" s="55" t="inlineStr">
        <is>
          <t>No</t>
        </is>
      </c>
      <c r="V6" s="51" t="n"/>
      <c r="W6" s="51" t="n"/>
      <c r="X6" s="51" t="n"/>
      <c r="Y6" s="55" t="inlineStr">
        <is>
          <t>Active</t>
        </is>
      </c>
      <c r="Z6" s="58">
        <f>IFERROR(VLOOKUP(K6,'👤 Agents'!$C$4:$D$200,2,FALSE),"")</f>
        <v/>
      </c>
      <c r="AA6" s="58">
        <f>IFERROR(VLOOKUP(L6,'👤 Agents'!$C$4:$D$200,2,FALSE),"")</f>
        <v/>
      </c>
      <c r="AB6" s="59">
        <f>IF(Z6="HH","Yes","No")</f>
        <v/>
      </c>
      <c r="AC6" s="59">
        <f>IF(AA6="HH","Yes","No")</f>
        <v/>
      </c>
      <c r="AD6" s="60">
        <f>IFERROR(IF(M6&gt;0,M6-N6,0),0)</f>
        <v/>
      </c>
      <c r="AE6" s="61">
        <f>IFERROR(IF(M6&gt;0,F6*M6,IF(O6&gt;0,O6,0)),0)</f>
        <v/>
      </c>
      <c r="AF6" s="62">
        <f>IF(U6="Yes",399,0)</f>
        <v/>
      </c>
      <c r="AG6" s="61">
        <f>IFERROR(IF(N6&gt;0,F6*N6,IF(AND(AB6="Yes",O6&gt;0),O6/2,0)),0)</f>
        <v/>
      </c>
      <c r="AH6" s="61">
        <f>IFERROR(IF(AD6&gt;0,F6*AD6,IF(AND(AC6="Yes",O6&gt;0),O6/2,0)),0)</f>
        <v/>
      </c>
      <c r="AI6" s="61">
        <f>IF(AB6="Yes",AG6,0)+IF(AC6="Yes",AH6,0)+AF6</f>
        <v/>
      </c>
      <c r="AJ6" s="58">
        <f>IF(AE6=0,"",IF(ABS(AE6-(AG6+AH6))&lt;1,"✓ OK","⚠️ CHECK: Total="&amp;TEXT(AE6,"$#,##0")&amp;" vs Sides="&amp;TEXT(AG6+AH6,"$#,##0")))</f>
        <v/>
      </c>
    </row>
    <row r="7" ht="18" customHeight="1">
      <c r="A7" s="49" t="inlineStr">
        <is>
          <t>2026-003</t>
        </is>
      </c>
      <c r="B7" s="50" t="n">
        <v>46079</v>
      </c>
      <c r="C7" s="51" t="inlineStr">
        <is>
          <t>743 Bent Creek, Wadsworth 44281</t>
        </is>
      </c>
      <c r="D7" s="52" t="n"/>
      <c r="E7" s="53" t="n"/>
      <c r="F7" s="53" t="n">
        <v>245000</v>
      </c>
      <c r="G7" s="54" t="n"/>
      <c r="H7" s="54" t="n">
        <v>46088</v>
      </c>
      <c r="I7" s="55" t="inlineStr">
        <is>
          <t>CASH</t>
        </is>
      </c>
      <c r="J7" s="53" t="n">
        <v>0</v>
      </c>
      <c r="K7" s="51" t="inlineStr">
        <is>
          <t>Ivana Carson</t>
        </is>
      </c>
      <c r="L7" s="51" t="inlineStr">
        <is>
          <t>Amy Frary</t>
        </is>
      </c>
      <c r="M7" s="56" t="n">
        <v>0.02</v>
      </c>
      <c r="N7" s="56" t="n">
        <v>0</v>
      </c>
      <c r="O7" s="57" t="n"/>
      <c r="P7" s="53" t="n"/>
      <c r="Q7" s="55" t="n"/>
      <c r="R7" s="55" t="n"/>
      <c r="S7" s="55" t="n"/>
      <c r="T7" s="55" t="n"/>
      <c r="U7" s="55" t="inlineStr">
        <is>
          <t>Yes</t>
        </is>
      </c>
      <c r="V7" s="51" t="n"/>
      <c r="W7" s="51" t="n"/>
      <c r="X7" s="51" t="n"/>
      <c r="Y7" s="55" t="inlineStr">
        <is>
          <t>Active</t>
        </is>
      </c>
      <c r="Z7" s="58">
        <f>IFERROR(VLOOKUP(K7,'👤 Agents'!$C$4:$D$200,2,FALSE),"")</f>
        <v/>
      </c>
      <c r="AA7" s="58">
        <f>IFERROR(VLOOKUP(L7,'👤 Agents'!$C$4:$D$200,2,FALSE),"")</f>
        <v/>
      </c>
      <c r="AB7" s="59">
        <f>IF(Z7="HH","Yes","No")</f>
        <v/>
      </c>
      <c r="AC7" s="59">
        <f>IF(AA7="HH","Yes","No")</f>
        <v/>
      </c>
      <c r="AD7" s="60">
        <f>IFERROR(IF(M7&gt;0,M7-N7,0),0)</f>
        <v/>
      </c>
      <c r="AE7" s="61">
        <f>IFERROR(IF(M7&gt;0,F7*M7,IF(O7&gt;0,O7,0)),0)</f>
        <v/>
      </c>
      <c r="AF7" s="62">
        <f>IF(U7="Yes",399,0)</f>
        <v/>
      </c>
      <c r="AG7" s="61">
        <f>IFERROR(IF(N7&gt;0,F7*N7,IF(AND(AB7="Yes",O7&gt;0),O7/2,0)),0)</f>
        <v/>
      </c>
      <c r="AH7" s="61">
        <f>IFERROR(IF(AD7&gt;0,F7*AD7,IF(AND(AC7="Yes",O7&gt;0),O7/2,0)),0)</f>
        <v/>
      </c>
      <c r="AI7" s="61">
        <f>IF(AB7="Yes",AG7,0)+IF(AC7="Yes",AH7,0)+AF7</f>
        <v/>
      </c>
      <c r="AJ7" s="58">
        <f>IF(AE7=0,"",IF(ABS(AE7-(AG7+AH7))&lt;1,"✓ OK","⚠️ CHECK: Total="&amp;TEXT(AE7,"$#,##0")&amp;" vs Sides="&amp;TEXT(AG7+AH7,"$#,##0")))</f>
        <v/>
      </c>
    </row>
    <row r="8" ht="18" customHeight="1">
      <c r="A8" s="49" t="inlineStr">
        <is>
          <t>2026-004</t>
        </is>
      </c>
      <c r="B8" s="50" t="n">
        <v>46079</v>
      </c>
      <c r="C8" s="51" t="inlineStr">
        <is>
          <t>2644 Harpster, Rittman 44270</t>
        </is>
      </c>
      <c r="D8" s="52" t="n"/>
      <c r="E8" s="53" t="n"/>
      <c r="F8" s="53" t="n">
        <v>275000</v>
      </c>
      <c r="G8" s="54" t="n"/>
      <c r="H8" s="54" t="n">
        <v>46094</v>
      </c>
      <c r="I8" s="55" t="inlineStr">
        <is>
          <t>FHA</t>
        </is>
      </c>
      <c r="J8" s="53" t="n">
        <v>0</v>
      </c>
      <c r="K8" s="51" t="inlineStr">
        <is>
          <t>Karen/Milka</t>
        </is>
      </c>
      <c r="L8" s="51" t="inlineStr">
        <is>
          <t>Jerry Lesac</t>
        </is>
      </c>
      <c r="M8" s="56" t="n">
        <v>0.06</v>
      </c>
      <c r="N8" s="56" t="n">
        <v>0.03</v>
      </c>
      <c r="O8" s="57" t="n"/>
      <c r="P8" s="53" t="n"/>
      <c r="Q8" s="55" t="n"/>
      <c r="R8" s="55" t="n"/>
      <c r="S8" s="55" t="n"/>
      <c r="T8" s="55" t="n"/>
      <c r="U8" s="55" t="inlineStr">
        <is>
          <t>Yes</t>
        </is>
      </c>
      <c r="V8" s="51" t="n"/>
      <c r="W8" s="51" t="n"/>
      <c r="X8" s="51" t="n"/>
      <c r="Y8" s="55" t="inlineStr">
        <is>
          <t>Active</t>
        </is>
      </c>
      <c r="Z8" s="58">
        <f>IFERROR(VLOOKUP(K8,'👤 Agents'!$C$4:$D$200,2,FALSE),"")</f>
        <v/>
      </c>
      <c r="AA8" s="58">
        <f>IFERROR(VLOOKUP(L8,'👤 Agents'!$C$4:$D$200,2,FALSE),"")</f>
        <v/>
      </c>
      <c r="AB8" s="59">
        <f>IF(Z8="HH","Yes","No")</f>
        <v/>
      </c>
      <c r="AC8" s="59">
        <f>IF(AA8="HH","Yes","No")</f>
        <v/>
      </c>
      <c r="AD8" s="60">
        <f>IFERROR(IF(M8&gt;0,M8-N8,0),0)</f>
        <v/>
      </c>
      <c r="AE8" s="61">
        <f>IFERROR(IF(M8&gt;0,F8*M8,IF(O8&gt;0,O8,0)),0)</f>
        <v/>
      </c>
      <c r="AF8" s="62">
        <f>IF(U8="Yes",399,0)</f>
        <v/>
      </c>
      <c r="AG8" s="61">
        <f>IFERROR(IF(N8&gt;0,F8*N8,IF(AND(AB8="Yes",O8&gt;0),O8/2,0)),0)</f>
        <v/>
      </c>
      <c r="AH8" s="61">
        <f>IFERROR(IF(AD8&gt;0,F8*AD8,IF(AND(AC8="Yes",O8&gt;0),O8/2,0)),0)</f>
        <v/>
      </c>
      <c r="AI8" s="61">
        <f>IF(AB8="Yes",AG8,0)+IF(AC8="Yes",AH8,0)+AF8</f>
        <v/>
      </c>
      <c r="AJ8" s="58">
        <f>IF(AE8=0,"",IF(ABS(AE8-(AG8+AH8))&lt;1,"✓ OK","⚠️ CHECK: Total="&amp;TEXT(AE8,"$#,##0")&amp;" vs Sides="&amp;TEXT(AG8+AH8,"$#,##0")))</f>
        <v/>
      </c>
    </row>
    <row r="9" ht="18" customHeight="1">
      <c r="A9" s="49" t="inlineStr">
        <is>
          <t>2026-005</t>
        </is>
      </c>
      <c r="B9" s="50" t="n">
        <v>46079</v>
      </c>
      <c r="C9" s="51" t="inlineStr">
        <is>
          <t>1774 Hila Way, Wooster 44691</t>
        </is>
      </c>
      <c r="D9" s="52" t="n"/>
      <c r="E9" s="53" t="n"/>
      <c r="F9" s="53" t="n">
        <v>310000</v>
      </c>
      <c r="G9" s="54" t="n"/>
      <c r="H9" s="54" t="n">
        <v>46080</v>
      </c>
      <c r="I9" s="55" t="inlineStr">
        <is>
          <t>CONV</t>
        </is>
      </c>
      <c r="J9" s="53" t="n">
        <v>600</v>
      </c>
      <c r="K9" s="51" t="inlineStr">
        <is>
          <t>Kelly/Heidi</t>
        </is>
      </c>
      <c r="L9" s="51" t="inlineStr">
        <is>
          <t>Cindy McCory</t>
        </is>
      </c>
      <c r="M9" s="56" t="n">
        <v>0.055</v>
      </c>
      <c r="N9" s="56" t="n">
        <v>0.03</v>
      </c>
      <c r="O9" s="57" t="n"/>
      <c r="P9" s="53" t="n"/>
      <c r="Q9" s="55" t="n"/>
      <c r="R9" s="55" t="n"/>
      <c r="S9" s="55" t="n"/>
      <c r="T9" s="55" t="n"/>
      <c r="U9" s="55" t="inlineStr">
        <is>
          <t>Yes</t>
        </is>
      </c>
      <c r="V9" s="51" t="n"/>
      <c r="W9" s="51" t="n"/>
      <c r="X9" s="51" t="n"/>
      <c r="Y9" s="55" t="inlineStr">
        <is>
          <t>Active</t>
        </is>
      </c>
      <c r="Z9" s="58">
        <f>IFERROR(VLOOKUP(K9,'👤 Agents'!$C$4:$D$200,2,FALSE),"")</f>
        <v/>
      </c>
      <c r="AA9" s="58">
        <f>IFERROR(VLOOKUP(L9,'👤 Agents'!$C$4:$D$200,2,FALSE),"")</f>
        <v/>
      </c>
      <c r="AB9" s="59">
        <f>IF(Z9="HH","Yes","No")</f>
        <v/>
      </c>
      <c r="AC9" s="59">
        <f>IF(AA9="HH","Yes","No")</f>
        <v/>
      </c>
      <c r="AD9" s="60">
        <f>IFERROR(IF(M9&gt;0,M9-N9,0),0)</f>
        <v/>
      </c>
      <c r="AE9" s="61">
        <f>IFERROR(IF(M9&gt;0,F9*M9,IF(O9&gt;0,O9,0)),0)</f>
        <v/>
      </c>
      <c r="AF9" s="62">
        <f>IF(U9="Yes",399,0)</f>
        <v/>
      </c>
      <c r="AG9" s="61">
        <f>IFERROR(IF(N9&gt;0,F9*N9,IF(AND(AB9="Yes",O9&gt;0),O9/2,0)),0)</f>
        <v/>
      </c>
      <c r="AH9" s="61">
        <f>IFERROR(IF(AD9&gt;0,F9*AD9,IF(AND(AC9="Yes",O9&gt;0),O9/2,0)),0)</f>
        <v/>
      </c>
      <c r="AI9" s="61">
        <f>IF(AB9="Yes",AG9,0)+IF(AC9="Yes",AH9,0)+AF9</f>
        <v/>
      </c>
      <c r="AJ9" s="58">
        <f>IF(AE9=0,"",IF(ABS(AE9-(AG9+AH9))&lt;1,"✓ OK","⚠️ CHECK: Total="&amp;TEXT(AE9,"$#,##0")&amp;" vs Sides="&amp;TEXT(AG9+AH9,"$#,##0")))</f>
        <v/>
      </c>
    </row>
    <row r="10" ht="18" customHeight="1">
      <c r="A10" s="49" t="inlineStr">
        <is>
          <t>2026-006</t>
        </is>
      </c>
      <c r="B10" s="50" t="n">
        <v>46079</v>
      </c>
      <c r="C10" s="51" t="inlineStr">
        <is>
          <t>744 Lawrence, Wadsworth 44281</t>
        </is>
      </c>
      <c r="D10" s="52" t="n"/>
      <c r="E10" s="53" t="n"/>
      <c r="F10" s="53" t="n">
        <v>360000</v>
      </c>
      <c r="G10" s="54" t="n"/>
      <c r="H10" s="54" t="n">
        <v>46069</v>
      </c>
      <c r="I10" s="55" t="inlineStr">
        <is>
          <t>CONV</t>
        </is>
      </c>
      <c r="J10" s="53" t="n">
        <v>0</v>
      </c>
      <c r="K10" s="51" t="inlineStr">
        <is>
          <t>Matthew Kalogeras</t>
        </is>
      </c>
      <c r="L10" s="51" t="inlineStr">
        <is>
          <t>Rachel Eastwood</t>
        </is>
      </c>
      <c r="M10" s="56" t="n">
        <v>0.03</v>
      </c>
      <c r="N10" s="56" t="n">
        <v>0</v>
      </c>
      <c r="O10" s="57" t="n"/>
      <c r="P10" s="53" t="n">
        <v>1000</v>
      </c>
      <c r="Q10" s="55" t="n"/>
      <c r="R10" s="55" t="n"/>
      <c r="S10" s="55" t="n"/>
      <c r="T10" s="55" t="n"/>
      <c r="U10" s="55" t="inlineStr">
        <is>
          <t>Yes</t>
        </is>
      </c>
      <c r="V10" s="51" t="n"/>
      <c r="W10" s="51" t="n"/>
      <c r="X10" s="51" t="n"/>
      <c r="Y10" s="55" t="inlineStr">
        <is>
          <t>Active</t>
        </is>
      </c>
      <c r="Z10" s="58">
        <f>IFERROR(VLOOKUP(K10,'👤 Agents'!$C$4:$D$200,2,FALSE),"")</f>
        <v/>
      </c>
      <c r="AA10" s="58">
        <f>IFERROR(VLOOKUP(L10,'👤 Agents'!$C$4:$D$200,2,FALSE),"")</f>
        <v/>
      </c>
      <c r="AB10" s="59">
        <f>IF(Z10="HH","Yes","No")</f>
        <v/>
      </c>
      <c r="AC10" s="59">
        <f>IF(AA10="HH","Yes","No")</f>
        <v/>
      </c>
      <c r="AD10" s="60">
        <f>IFERROR(IF(M10&gt;0,M10-N10,0),0)</f>
        <v/>
      </c>
      <c r="AE10" s="61">
        <f>IFERROR(IF(M10&gt;0,F10*M10,IF(O10&gt;0,O10,0)),0)</f>
        <v/>
      </c>
      <c r="AF10" s="62">
        <f>IF(U10="Yes",399,0)</f>
        <v/>
      </c>
      <c r="AG10" s="61">
        <f>IFERROR(IF(N10&gt;0,F10*N10,IF(AND(AB10="Yes",O10&gt;0),O10/2,0)),0)</f>
        <v/>
      </c>
      <c r="AH10" s="61">
        <f>IFERROR(IF(AD10&gt;0,F10*AD10,IF(AND(AC10="Yes",O10&gt;0),O10/2,0)),0)</f>
        <v/>
      </c>
      <c r="AI10" s="61">
        <f>IF(AB10="Yes",AG10,0)+IF(AC10="Yes",AH10,0)+AF10</f>
        <v/>
      </c>
      <c r="AJ10" s="58">
        <f>IF(AE10=0,"",IF(ABS(AE10-(AG10+AH10))&lt;1,"✓ OK","⚠️ CHECK: Total="&amp;TEXT(AE10,"$#,##0")&amp;" vs Sides="&amp;TEXT(AG10+AH10,"$#,##0")))</f>
        <v/>
      </c>
    </row>
    <row r="11" ht="18" customHeight="1">
      <c r="A11" s="49" t="inlineStr">
        <is>
          <t>2026-007</t>
        </is>
      </c>
      <c r="B11" s="50" t="n">
        <v>46079</v>
      </c>
      <c r="C11" s="51" t="inlineStr">
        <is>
          <t>281 Park Pl, Wadsworth 44281</t>
        </is>
      </c>
      <c r="D11" s="52" t="n"/>
      <c r="E11" s="53" t="n"/>
      <c r="F11" s="53" t="n">
        <v>266000</v>
      </c>
      <c r="G11" s="54" t="n"/>
      <c r="H11" s="54" t="n">
        <v>46086</v>
      </c>
      <c r="I11" s="55" t="inlineStr">
        <is>
          <t>Eq. Ln</t>
        </is>
      </c>
      <c r="J11" s="53" t="n">
        <v>0</v>
      </c>
      <c r="K11" s="51" t="inlineStr">
        <is>
          <t>Mark Metz</t>
        </is>
      </c>
      <c r="L11" s="51" t="inlineStr">
        <is>
          <t>Karen/Milka</t>
        </is>
      </c>
      <c r="M11" s="56" t="n">
        <v>0.03</v>
      </c>
      <c r="N11" s="56" t="n">
        <v>0</v>
      </c>
      <c r="O11" s="57" t="n"/>
      <c r="P11" s="53" t="n">
        <v>2000</v>
      </c>
      <c r="Q11" s="55" t="n"/>
      <c r="R11" s="55" t="n"/>
      <c r="S11" s="55" t="n"/>
      <c r="T11" s="55" t="n"/>
      <c r="U11" s="55" t="inlineStr">
        <is>
          <t>Yes</t>
        </is>
      </c>
      <c r="V11" s="51" t="n"/>
      <c r="W11" s="51" t="n"/>
      <c r="X11" s="51" t="n"/>
      <c r="Y11" s="55" t="inlineStr">
        <is>
          <t>Active</t>
        </is>
      </c>
      <c r="Z11" s="58">
        <f>IFERROR(VLOOKUP(K11,'👤 Agents'!$C$4:$D$200,2,FALSE),"")</f>
        <v/>
      </c>
      <c r="AA11" s="58">
        <f>IFERROR(VLOOKUP(L11,'👤 Agents'!$C$4:$D$200,2,FALSE),"")</f>
        <v/>
      </c>
      <c r="AB11" s="59">
        <f>IF(Z11="HH","Yes","No")</f>
        <v/>
      </c>
      <c r="AC11" s="59">
        <f>IF(AA11="HH","Yes","No")</f>
        <v/>
      </c>
      <c r="AD11" s="60">
        <f>IFERROR(IF(M11&gt;0,M11-N11,0),0)</f>
        <v/>
      </c>
      <c r="AE11" s="61">
        <f>IFERROR(IF(M11&gt;0,F11*M11,IF(O11&gt;0,O11,0)),0)</f>
        <v/>
      </c>
      <c r="AF11" s="62">
        <f>IF(U11="Yes",399,0)</f>
        <v/>
      </c>
      <c r="AG11" s="61">
        <f>IFERROR(IF(N11&gt;0,F11*N11,IF(AND(AB11="Yes",O11&gt;0),O11/2,0)),0)</f>
        <v/>
      </c>
      <c r="AH11" s="61">
        <f>IFERROR(IF(AD11&gt;0,F11*AD11,IF(AND(AC11="Yes",O11&gt;0),O11/2,0)),0)</f>
        <v/>
      </c>
      <c r="AI11" s="61">
        <f>IF(AB11="Yes",AG11,0)+IF(AC11="Yes",AH11,0)+AF11</f>
        <v/>
      </c>
      <c r="AJ11" s="58">
        <f>IF(AE11=0,"",IF(ABS(AE11-(AG11+AH11))&lt;1,"✓ OK","⚠️ CHECK: Total="&amp;TEXT(AE11,"$#,##0")&amp;" vs Sides="&amp;TEXT(AG11+AH11,"$#,##0")))</f>
        <v/>
      </c>
    </row>
    <row r="12" ht="18" customHeight="1">
      <c r="A12" s="49" t="inlineStr">
        <is>
          <t>2026-008</t>
        </is>
      </c>
      <c r="B12" s="50" t="n">
        <v>46079</v>
      </c>
      <c r="C12" s="51" t="inlineStr">
        <is>
          <t>92 30th, Barberton 44203</t>
        </is>
      </c>
      <c r="D12" s="52" t="n"/>
      <c r="E12" s="53" t="n"/>
      <c r="F12" s="53" t="n">
        <v>193000</v>
      </c>
      <c r="G12" s="54" t="n"/>
      <c r="H12" s="54" t="n">
        <v>46080</v>
      </c>
      <c r="I12" s="55" t="inlineStr">
        <is>
          <t>CONV</t>
        </is>
      </c>
      <c r="J12" s="53" t="n">
        <v>0</v>
      </c>
      <c r="K12" s="51" t="inlineStr">
        <is>
          <t>Eric Yetzer</t>
        </is>
      </c>
      <c r="L12" s="51" t="inlineStr">
        <is>
          <t>Mark Metz</t>
        </is>
      </c>
      <c r="M12" s="56" t="n">
        <v>0.065</v>
      </c>
      <c r="N12" s="56" t="n">
        <v>0.035</v>
      </c>
      <c r="O12" s="57" t="n"/>
      <c r="P12" s="53" t="n"/>
      <c r="Q12" s="55" t="n"/>
      <c r="R12" s="55" t="n"/>
      <c r="S12" s="55" t="n"/>
      <c r="T12" s="55" t="n"/>
      <c r="U12" s="55" t="inlineStr">
        <is>
          <t>Yes</t>
        </is>
      </c>
      <c r="V12" s="51" t="n"/>
      <c r="W12" s="51" t="n"/>
      <c r="X12" s="51" t="n"/>
      <c r="Y12" s="55" t="inlineStr">
        <is>
          <t>Active</t>
        </is>
      </c>
      <c r="Z12" s="58">
        <f>IFERROR(VLOOKUP(K12,'👤 Agents'!$C$4:$D$200,2,FALSE),"")</f>
        <v/>
      </c>
      <c r="AA12" s="58">
        <f>IFERROR(VLOOKUP(L12,'👤 Agents'!$C$4:$D$200,2,FALSE),"")</f>
        <v/>
      </c>
      <c r="AB12" s="59">
        <f>IF(Z12="HH","Yes","No")</f>
        <v/>
      </c>
      <c r="AC12" s="59">
        <f>IF(AA12="HH","Yes","No")</f>
        <v/>
      </c>
      <c r="AD12" s="60">
        <f>IFERROR(IF(M12&gt;0,M12-N12,0),0)</f>
        <v/>
      </c>
      <c r="AE12" s="61">
        <f>IFERROR(IF(M12&gt;0,F12*M12,IF(O12&gt;0,O12,0)),0)</f>
        <v/>
      </c>
      <c r="AF12" s="62">
        <f>IF(U12="Yes",399,0)</f>
        <v/>
      </c>
      <c r="AG12" s="61">
        <f>IFERROR(IF(N12&gt;0,F12*N12,IF(AND(AB12="Yes",O12&gt;0),O12/2,0)),0)</f>
        <v/>
      </c>
      <c r="AH12" s="61">
        <f>IFERROR(IF(AD12&gt;0,F12*AD12,IF(AND(AC12="Yes",O12&gt;0),O12/2,0)),0)</f>
        <v/>
      </c>
      <c r="AI12" s="61">
        <f>IF(AB12="Yes",AG12,0)+IF(AC12="Yes",AH12,0)+AF12</f>
        <v/>
      </c>
      <c r="AJ12" s="58">
        <f>IF(AE12=0,"",IF(ABS(AE12-(AG12+AH12))&lt;1,"✓ OK","⚠️ CHECK: Total="&amp;TEXT(AE12,"$#,##0")&amp;" vs Sides="&amp;TEXT(AG12+AH12,"$#,##0")))</f>
        <v/>
      </c>
    </row>
    <row r="13" ht="18" customHeight="1">
      <c r="A13" s="49" t="inlineStr">
        <is>
          <t>2026-009</t>
        </is>
      </c>
      <c r="B13" s="50" t="n">
        <v>46079</v>
      </c>
      <c r="C13" s="51" t="inlineStr">
        <is>
          <t>455 Barrenwood, Wadsworth 44281</t>
        </is>
      </c>
      <c r="D13" s="52" t="n"/>
      <c r="E13" s="53" t="n"/>
      <c r="F13" s="53" t="n">
        <v>315000</v>
      </c>
      <c r="G13" s="54" t="n"/>
      <c r="H13" s="54" t="n">
        <v>46092</v>
      </c>
      <c r="I13" s="55" t="inlineStr">
        <is>
          <t>CASH</t>
        </is>
      </c>
      <c r="J13" s="53" t="n">
        <v>6300</v>
      </c>
      <c r="K13" s="51" t="inlineStr">
        <is>
          <t>Rebbecca Tessanne</t>
        </is>
      </c>
      <c r="L13" s="51" t="inlineStr">
        <is>
          <t>Oleg Bosovic</t>
        </is>
      </c>
      <c r="M13" s="56" t="n">
        <v>0.046</v>
      </c>
      <c r="N13" s="56" t="n">
        <v>0.026</v>
      </c>
      <c r="O13" s="57" t="n"/>
      <c r="P13" s="53" t="n"/>
      <c r="Q13" s="55" t="n"/>
      <c r="R13" s="55" t="n"/>
      <c r="S13" s="55" t="n"/>
      <c r="T13" s="55" t="n"/>
      <c r="U13" s="55" t="inlineStr">
        <is>
          <t>Yes</t>
        </is>
      </c>
      <c r="V13" s="51" t="n"/>
      <c r="W13" s="51" t="n"/>
      <c r="X13" s="51" t="n"/>
      <c r="Y13" s="55" t="inlineStr">
        <is>
          <t>Active</t>
        </is>
      </c>
      <c r="Z13" s="58">
        <f>IFERROR(VLOOKUP(K13,'👤 Agents'!$C$4:$D$200,2,FALSE),"")</f>
        <v/>
      </c>
      <c r="AA13" s="58">
        <f>IFERROR(VLOOKUP(L13,'👤 Agents'!$C$4:$D$200,2,FALSE),"")</f>
        <v/>
      </c>
      <c r="AB13" s="59">
        <f>IF(Z13="HH","Yes","No")</f>
        <v/>
      </c>
      <c r="AC13" s="59">
        <f>IF(AA13="HH","Yes","No")</f>
        <v/>
      </c>
      <c r="AD13" s="60">
        <f>IFERROR(IF(M13&gt;0,M13-N13,0),0)</f>
        <v/>
      </c>
      <c r="AE13" s="61">
        <f>IFERROR(IF(M13&gt;0,F13*M13,IF(O13&gt;0,O13,0)),0)</f>
        <v/>
      </c>
      <c r="AF13" s="62">
        <f>IF(U13="Yes",399,0)</f>
        <v/>
      </c>
      <c r="AG13" s="61">
        <f>IFERROR(IF(N13&gt;0,F13*N13,IF(AND(AB13="Yes",O13&gt;0),O13/2,0)),0)</f>
        <v/>
      </c>
      <c r="AH13" s="61">
        <f>IFERROR(IF(AD13&gt;0,F13*AD13,IF(AND(AC13="Yes",O13&gt;0),O13/2,0)),0)</f>
        <v/>
      </c>
      <c r="AI13" s="61">
        <f>IF(AB13="Yes",AG13,0)+IF(AC13="Yes",AH13,0)+AF13</f>
        <v/>
      </c>
      <c r="AJ13" s="58">
        <f>IF(AE13=0,"",IF(ABS(AE13-(AG13+AH13))&lt;1,"✓ OK","⚠️ CHECK: Total="&amp;TEXT(AE13,"$#,##0")&amp;" vs Sides="&amp;TEXT(AG13+AH13,"$#,##0")))</f>
        <v/>
      </c>
    </row>
    <row r="14" ht="18" customHeight="1">
      <c r="A14" s="49" t="inlineStr">
        <is>
          <t>2026-010</t>
        </is>
      </c>
      <c r="B14" s="50" t="n">
        <v>46079</v>
      </c>
      <c r="C14" s="51" t="inlineStr">
        <is>
          <t>5052 Catawba, Seville 44273</t>
        </is>
      </c>
      <c r="D14" s="52" t="n"/>
      <c r="E14" s="53" t="n"/>
      <c r="F14" s="53" t="n">
        <v>365000</v>
      </c>
      <c r="G14" s="54" t="n"/>
      <c r="H14" s="54" t="n">
        <v>46119</v>
      </c>
      <c r="I14" s="55" t="inlineStr">
        <is>
          <t>CONV</t>
        </is>
      </c>
      <c r="J14" s="53" t="n">
        <v>0</v>
      </c>
      <c r="K14" s="51" t="inlineStr">
        <is>
          <t>Eric Yetzer</t>
        </is>
      </c>
      <c r="L14" s="51" t="inlineStr">
        <is>
          <t>Shelly Booth</t>
        </is>
      </c>
      <c r="M14" s="56" t="n">
        <v>0.06</v>
      </c>
      <c r="N14" s="56" t="n">
        <v>0.03</v>
      </c>
      <c r="O14" s="57" t="n"/>
      <c r="P14" s="53" t="n"/>
      <c r="Q14" s="55" t="n"/>
      <c r="R14" s="55" t="n"/>
      <c r="S14" s="55" t="n"/>
      <c r="T14" s="55" t="n"/>
      <c r="U14" s="55" t="inlineStr">
        <is>
          <t>No</t>
        </is>
      </c>
      <c r="V14" s="51" t="n"/>
      <c r="W14" s="51" t="n"/>
      <c r="X14" s="51" t="n"/>
      <c r="Y14" s="55" t="inlineStr">
        <is>
          <t>Active</t>
        </is>
      </c>
      <c r="Z14" s="58">
        <f>IFERROR(VLOOKUP(K14,'👤 Agents'!$C$4:$D$200,2,FALSE),"")</f>
        <v/>
      </c>
      <c r="AA14" s="58">
        <f>IFERROR(VLOOKUP(L14,'👤 Agents'!$C$4:$D$200,2,FALSE),"")</f>
        <v/>
      </c>
      <c r="AB14" s="59">
        <f>IF(Z14="HH","Yes","No")</f>
        <v/>
      </c>
      <c r="AC14" s="59">
        <f>IF(AA14="HH","Yes","No")</f>
        <v/>
      </c>
      <c r="AD14" s="60">
        <f>IFERROR(IF(M14&gt;0,M14-N14,0),0)</f>
        <v/>
      </c>
      <c r="AE14" s="61">
        <f>IFERROR(IF(M14&gt;0,F14*M14,IF(O14&gt;0,O14,0)),0)</f>
        <v/>
      </c>
      <c r="AF14" s="62">
        <f>IF(U14="Yes",399,0)</f>
        <v/>
      </c>
      <c r="AG14" s="61">
        <f>IFERROR(IF(N14&gt;0,F14*N14,IF(AND(AB14="Yes",O14&gt;0),O14/2,0)),0)</f>
        <v/>
      </c>
      <c r="AH14" s="61">
        <f>IFERROR(IF(AD14&gt;0,F14*AD14,IF(AND(AC14="Yes",O14&gt;0),O14/2,0)),0)</f>
        <v/>
      </c>
      <c r="AI14" s="61">
        <f>IF(AB14="Yes",AG14,0)+IF(AC14="Yes",AH14,0)+AF14</f>
        <v/>
      </c>
      <c r="AJ14" s="58">
        <f>IF(AE14=0,"",IF(ABS(AE14-(AG14+AH14))&lt;1,"✓ OK","⚠️ CHECK: Total="&amp;TEXT(AE14,"$#,##0")&amp;" vs Sides="&amp;TEXT(AG14+AH14,"$#,##0")))</f>
        <v/>
      </c>
    </row>
    <row r="15" ht="18" customHeight="1">
      <c r="A15" s="49" t="inlineStr">
        <is>
          <t>2026-011</t>
        </is>
      </c>
      <c r="B15" s="50" t="n">
        <v>46079</v>
      </c>
      <c r="C15" s="51" t="inlineStr">
        <is>
          <t>216 N. Lyman, Wadsworth 44281</t>
        </is>
      </c>
      <c r="D15" s="52" t="n"/>
      <c r="E15" s="53" t="n"/>
      <c r="F15" s="53" t="n">
        <v>235000</v>
      </c>
      <c r="G15" s="54" t="n"/>
      <c r="H15" s="54" t="n">
        <v>46087</v>
      </c>
      <c r="I15" s="55" t="inlineStr">
        <is>
          <t>FHA</t>
        </is>
      </c>
      <c r="J15" s="53" t="n">
        <v>5000</v>
      </c>
      <c r="K15" s="51" t="inlineStr">
        <is>
          <t>Ron Ho</t>
        </is>
      </c>
      <c r="L15" s="51" t="inlineStr">
        <is>
          <t>Autumn Moore</t>
        </is>
      </c>
      <c r="M15" s="56" t="n">
        <v>0.06</v>
      </c>
      <c r="N15" s="56" t="n">
        <v>0</v>
      </c>
      <c r="O15" s="57" t="n"/>
      <c r="P15" s="53" t="n"/>
      <c r="Q15" s="55" t="n"/>
      <c r="R15" s="55" t="n"/>
      <c r="S15" s="55" t="n"/>
      <c r="T15" s="55" t="n"/>
      <c r="U15" s="55" t="inlineStr">
        <is>
          <t>Yes</t>
        </is>
      </c>
      <c r="V15" s="51" t="n"/>
      <c r="W15" s="51" t="n"/>
      <c r="X15" s="51" t="n"/>
      <c r="Y15" s="55" t="inlineStr">
        <is>
          <t>Active</t>
        </is>
      </c>
      <c r="Z15" s="58">
        <f>IFERROR(VLOOKUP(K15,'👤 Agents'!$C$4:$D$200,2,FALSE),"")</f>
        <v/>
      </c>
      <c r="AA15" s="58">
        <f>IFERROR(VLOOKUP(L15,'👤 Agents'!$C$4:$D$200,2,FALSE),"")</f>
        <v/>
      </c>
      <c r="AB15" s="59">
        <f>IF(Z15="HH","Yes","No")</f>
        <v/>
      </c>
      <c r="AC15" s="59">
        <f>IF(AA15="HH","Yes","No")</f>
        <v/>
      </c>
      <c r="AD15" s="60">
        <f>IFERROR(IF(M15&gt;0,M15-N15,0),0)</f>
        <v/>
      </c>
      <c r="AE15" s="61">
        <f>IFERROR(IF(M15&gt;0,F15*M15,IF(O15&gt;0,O15,0)),0)</f>
        <v/>
      </c>
      <c r="AF15" s="62">
        <f>IF(U15="Yes",399,0)</f>
        <v/>
      </c>
      <c r="AG15" s="61">
        <f>IFERROR(IF(N15&gt;0,F15*N15,IF(AND(AB15="Yes",O15&gt;0),O15/2,0)),0)</f>
        <v/>
      </c>
      <c r="AH15" s="61">
        <f>IFERROR(IF(AD15&gt;0,F15*AD15,IF(AND(AC15="Yes",O15&gt;0),O15/2,0)),0)</f>
        <v/>
      </c>
      <c r="AI15" s="61">
        <f>IF(AB15="Yes",AG15,0)+IF(AC15="Yes",AH15,0)+AF15</f>
        <v/>
      </c>
      <c r="AJ15" s="58">
        <f>IF(AE15=0,"",IF(ABS(AE15-(AG15+AH15))&lt;1,"✓ OK","⚠️ CHECK: Total="&amp;TEXT(AE15,"$#,##0")&amp;" vs Sides="&amp;TEXT(AG15+AH15,"$#,##0")))</f>
        <v/>
      </c>
    </row>
    <row r="16" ht="18" customHeight="1">
      <c r="A16" s="49" t="inlineStr">
        <is>
          <t>2026-012</t>
        </is>
      </c>
      <c r="B16" s="50" t="n">
        <v>46079</v>
      </c>
      <c r="C16" s="51" t="inlineStr">
        <is>
          <t>6407 Southview, Clinton 44216</t>
        </is>
      </c>
      <c r="D16" s="52" t="n"/>
      <c r="E16" s="53" t="n"/>
      <c r="F16" s="53" t="n">
        <v>256000</v>
      </c>
      <c r="G16" s="54" t="n"/>
      <c r="H16" s="54" t="n">
        <v>46097</v>
      </c>
      <c r="I16" s="55" t="inlineStr">
        <is>
          <t>CONV</t>
        </is>
      </c>
      <c r="J16" s="53" t="n">
        <v>0</v>
      </c>
      <c r="K16" s="51" t="inlineStr">
        <is>
          <t>Vicky &amp; Beth</t>
        </is>
      </c>
      <c r="L16" s="51" t="inlineStr">
        <is>
          <t>Vicky &amp; Beth</t>
        </is>
      </c>
      <c r="M16" s="56" t="n">
        <v>0.04</v>
      </c>
      <c r="N16" s="56" t="n">
        <v>0.025</v>
      </c>
      <c r="O16" s="57" t="n"/>
      <c r="P16" s="53" t="n"/>
      <c r="Q16" s="55" t="n"/>
      <c r="R16" s="55" t="n"/>
      <c r="S16" s="55" t="n"/>
      <c r="T16" s="55" t="n"/>
      <c r="U16" s="55" t="inlineStr">
        <is>
          <t>Yes</t>
        </is>
      </c>
      <c r="V16" s="51" t="n"/>
      <c r="W16" s="51" t="n"/>
      <c r="X16" s="51" t="n"/>
      <c r="Y16" s="55" t="inlineStr">
        <is>
          <t>Active</t>
        </is>
      </c>
      <c r="Z16" s="58">
        <f>IFERROR(VLOOKUP(K16,'👤 Agents'!$C$4:$D$200,2,FALSE),"")</f>
        <v/>
      </c>
      <c r="AA16" s="58">
        <f>IFERROR(VLOOKUP(L16,'👤 Agents'!$C$4:$D$200,2,FALSE),"")</f>
        <v/>
      </c>
      <c r="AB16" s="59">
        <f>IF(Z16="HH","Yes","No")</f>
        <v/>
      </c>
      <c r="AC16" s="59">
        <f>IF(AA16="HH","Yes","No")</f>
        <v/>
      </c>
      <c r="AD16" s="60">
        <f>IFERROR(IF(M16&gt;0,M16-N16,0),0)</f>
        <v/>
      </c>
      <c r="AE16" s="61">
        <f>IFERROR(IF(M16&gt;0,F16*M16,IF(O16&gt;0,O16,0)),0)</f>
        <v/>
      </c>
      <c r="AF16" s="62">
        <f>IF(U16="Yes",399,0)</f>
        <v/>
      </c>
      <c r="AG16" s="61">
        <f>IFERROR(IF(N16&gt;0,F16*N16,IF(AND(AB16="Yes",O16&gt;0),O16/2,0)),0)</f>
        <v/>
      </c>
      <c r="AH16" s="61">
        <f>IFERROR(IF(AD16&gt;0,F16*AD16,IF(AND(AC16="Yes",O16&gt;0),O16/2,0)),0)</f>
        <v/>
      </c>
      <c r="AI16" s="61">
        <f>IF(AB16="Yes",AG16,0)+IF(AC16="Yes",AH16,0)+AF16</f>
        <v/>
      </c>
      <c r="AJ16" s="58">
        <f>IF(AE16=0,"",IF(ABS(AE16-(AG16+AH16))&lt;1,"✓ OK","⚠️ CHECK: Total="&amp;TEXT(AE16,"$#,##0")&amp;" vs Sides="&amp;TEXT(AG16+AH16,"$#,##0")))</f>
        <v/>
      </c>
    </row>
    <row r="17" ht="18" customHeight="1">
      <c r="A17" s="49" t="inlineStr">
        <is>
          <t>2026-013</t>
        </is>
      </c>
      <c r="B17" s="50" t="n">
        <v>46079</v>
      </c>
      <c r="C17" s="51" t="inlineStr">
        <is>
          <t>1821 Myersville, Akron 44312</t>
        </is>
      </c>
      <c r="D17" s="52" t="n"/>
      <c r="E17" s="53" t="n"/>
      <c r="F17" s="53" t="n">
        <v>330000</v>
      </c>
      <c r="G17" s="54" t="n"/>
      <c r="H17" s="54" t="n">
        <v>46079</v>
      </c>
      <c r="I17" s="55" t="inlineStr">
        <is>
          <t>FHA</t>
        </is>
      </c>
      <c r="J17" s="53" t="n">
        <v>9900</v>
      </c>
      <c r="K17" s="51" t="inlineStr">
        <is>
          <t>Lenny Herbert</t>
        </is>
      </c>
      <c r="L17" s="51" t="inlineStr">
        <is>
          <t>Vicky &amp; Beth (Shelly)</t>
        </is>
      </c>
      <c r="M17" s="56" t="n">
        <v>0.02</v>
      </c>
      <c r="N17" s="56" t="n">
        <v>0</v>
      </c>
      <c r="O17" s="57" t="n"/>
      <c r="P17" s="53" t="n">
        <v>1000</v>
      </c>
      <c r="Q17" s="55" t="n"/>
      <c r="R17" s="55" t="n"/>
      <c r="S17" s="55" t="n"/>
      <c r="T17" s="55" t="n"/>
      <c r="U17" s="55" t="inlineStr">
        <is>
          <t>Yes</t>
        </is>
      </c>
      <c r="V17" s="51" t="n"/>
      <c r="W17" s="51" t="n"/>
      <c r="X17" s="51" t="n"/>
      <c r="Y17" s="55" t="inlineStr">
        <is>
          <t>Active</t>
        </is>
      </c>
      <c r="Z17" s="58">
        <f>IFERROR(VLOOKUP(K17,'👤 Agents'!$C$4:$D$200,2,FALSE),"")</f>
        <v/>
      </c>
      <c r="AA17" s="58">
        <f>IFERROR(VLOOKUP(L17,'👤 Agents'!$C$4:$D$200,2,FALSE),"")</f>
        <v/>
      </c>
      <c r="AB17" s="59">
        <f>IF(Z17="HH","Yes","No")</f>
        <v/>
      </c>
      <c r="AC17" s="59">
        <f>IF(AA17="HH","Yes","No")</f>
        <v/>
      </c>
      <c r="AD17" s="60">
        <f>IFERROR(IF(M17&gt;0,M17-N17,0),0)</f>
        <v/>
      </c>
      <c r="AE17" s="61">
        <f>IFERROR(IF(M17&gt;0,F17*M17,IF(O17&gt;0,O17,0)),0)</f>
        <v/>
      </c>
      <c r="AF17" s="62">
        <f>IF(U17="Yes",399,0)</f>
        <v/>
      </c>
      <c r="AG17" s="61">
        <f>IFERROR(IF(N17&gt;0,F17*N17,IF(AND(AB17="Yes",O17&gt;0),O17/2,0)),0)</f>
        <v/>
      </c>
      <c r="AH17" s="61">
        <f>IFERROR(IF(AD17&gt;0,F17*AD17,IF(AND(AC17="Yes",O17&gt;0),O17/2,0)),0)</f>
        <v/>
      </c>
      <c r="AI17" s="61">
        <f>IF(AB17="Yes",AG17,0)+IF(AC17="Yes",AH17,0)+AF17</f>
        <v/>
      </c>
      <c r="AJ17" s="58">
        <f>IF(AE17=0,"",IF(ABS(AE17-(AG17+AH17))&lt;1,"✓ OK","⚠️ CHECK: Total="&amp;TEXT(AE17,"$#,##0")&amp;" vs Sides="&amp;TEXT(AG17+AH17,"$#,##0")))</f>
        <v/>
      </c>
    </row>
    <row r="18" ht="18" customHeight="1">
      <c r="A18" s="49" t="inlineStr">
        <is>
          <t>2026-014</t>
        </is>
      </c>
      <c r="B18" s="50" t="n">
        <v>46079</v>
      </c>
      <c r="C18" s="51" t="inlineStr">
        <is>
          <t>96 W Ohio, Rittman 44270</t>
        </is>
      </c>
      <c r="D18" s="52" t="n"/>
      <c r="E18" s="53" t="n"/>
      <c r="F18" s="53" t="n">
        <v>168000</v>
      </c>
      <c r="G18" s="54" t="n"/>
      <c r="H18" s="54" t="n">
        <v>46094</v>
      </c>
      <c r="I18" s="55" t="inlineStr">
        <is>
          <t>CONV</t>
        </is>
      </c>
      <c r="J18" s="53" t="n">
        <v>2500</v>
      </c>
      <c r="K18" s="51" t="inlineStr">
        <is>
          <t>Eric Yetzer</t>
        </is>
      </c>
      <c r="L18" s="51" t="inlineStr">
        <is>
          <t>Brian Leatherman</t>
        </is>
      </c>
      <c r="M18" s="56" t="n">
        <v>0.065</v>
      </c>
      <c r="N18" s="56" t="n">
        <v>0.035</v>
      </c>
      <c r="O18" s="57" t="n"/>
      <c r="P18" s="53" t="n"/>
      <c r="Q18" s="55" t="n"/>
      <c r="R18" s="55" t="n"/>
      <c r="S18" s="55" t="n"/>
      <c r="T18" s="55" t="n"/>
      <c r="U18" s="55" t="inlineStr">
        <is>
          <t>Yes</t>
        </is>
      </c>
      <c r="V18" s="51" t="n"/>
      <c r="W18" s="51" t="n"/>
      <c r="X18" s="51" t="n"/>
      <c r="Y18" s="55" t="inlineStr">
        <is>
          <t>Active</t>
        </is>
      </c>
      <c r="Z18" s="58">
        <f>IFERROR(VLOOKUP(K18,'👤 Agents'!$C$4:$D$200,2,FALSE),"")</f>
        <v/>
      </c>
      <c r="AA18" s="58">
        <f>IFERROR(VLOOKUP(L18,'👤 Agents'!$C$4:$D$200,2,FALSE),"")</f>
        <v/>
      </c>
      <c r="AB18" s="59">
        <f>IF(Z18="HH","Yes","No")</f>
        <v/>
      </c>
      <c r="AC18" s="59">
        <f>IF(AA18="HH","Yes","No")</f>
        <v/>
      </c>
      <c r="AD18" s="60">
        <f>IFERROR(IF(M18&gt;0,M18-N18,0),0)</f>
        <v/>
      </c>
      <c r="AE18" s="61">
        <f>IFERROR(IF(M18&gt;0,F18*M18,IF(O18&gt;0,O18,0)),0)</f>
        <v/>
      </c>
      <c r="AF18" s="62">
        <f>IF(U18="Yes",399,0)</f>
        <v/>
      </c>
      <c r="AG18" s="61">
        <f>IFERROR(IF(N18&gt;0,F18*N18,IF(AND(AB18="Yes",O18&gt;0),O18/2,0)),0)</f>
        <v/>
      </c>
      <c r="AH18" s="61">
        <f>IFERROR(IF(AD18&gt;0,F18*AD18,IF(AND(AC18="Yes",O18&gt;0),O18/2,0)),0)</f>
        <v/>
      </c>
      <c r="AI18" s="61">
        <f>IF(AB18="Yes",AG18,0)+IF(AC18="Yes",AH18,0)+AF18</f>
        <v/>
      </c>
      <c r="AJ18" s="58">
        <f>IF(AE18=0,"",IF(ABS(AE18-(AG18+AH18))&lt;1,"✓ OK","⚠️ CHECK: Total="&amp;TEXT(AE18,"$#,##0")&amp;" vs Sides="&amp;TEXT(AG18+AH18,"$#,##0")))</f>
        <v/>
      </c>
    </row>
    <row r="19" ht="18" customHeight="1">
      <c r="A19" s="49" t="inlineStr">
        <is>
          <t>2026-015</t>
        </is>
      </c>
      <c r="B19" s="50" t="n">
        <v>46079</v>
      </c>
      <c r="C19" s="51" t="inlineStr">
        <is>
          <t>317 Ihrig, Wooster 44691</t>
        </is>
      </c>
      <c r="D19" s="52" t="n"/>
      <c r="E19" s="53" t="n"/>
      <c r="F19" s="53" t="n">
        <v>230000</v>
      </c>
      <c r="G19" s="54" t="n"/>
      <c r="H19" s="54" t="n">
        <v>46101</v>
      </c>
      <c r="I19" s="55" t="inlineStr">
        <is>
          <t>CONV</t>
        </is>
      </c>
      <c r="J19" s="53" t="n">
        <v>6000</v>
      </c>
      <c r="K19" s="51" t="inlineStr">
        <is>
          <t>Vicky &amp; Beth (Shelly)</t>
        </is>
      </c>
      <c r="L19" s="51" t="inlineStr">
        <is>
          <t>Cindy McCory</t>
        </is>
      </c>
      <c r="M19" s="56" t="n">
        <v>0.03</v>
      </c>
      <c r="N19" s="56" t="n">
        <v>0.01</v>
      </c>
      <c r="O19" s="57" t="n"/>
      <c r="P19" s="53" t="n"/>
      <c r="Q19" s="55" t="n"/>
      <c r="R19" s="55" t="n"/>
      <c r="S19" s="55" t="n"/>
      <c r="T19" s="55" t="n"/>
      <c r="U19" s="55" t="inlineStr">
        <is>
          <t>Yes</t>
        </is>
      </c>
      <c r="V19" s="51" t="n"/>
      <c r="W19" s="51" t="n"/>
      <c r="X19" s="51" t="n"/>
      <c r="Y19" s="55" t="inlineStr">
        <is>
          <t>Active</t>
        </is>
      </c>
      <c r="Z19" s="58">
        <f>IFERROR(VLOOKUP(K19,'👤 Agents'!$C$4:$D$200,2,FALSE),"")</f>
        <v/>
      </c>
      <c r="AA19" s="58">
        <f>IFERROR(VLOOKUP(L19,'👤 Agents'!$C$4:$D$200,2,FALSE),"")</f>
        <v/>
      </c>
      <c r="AB19" s="59">
        <f>IF(Z19="HH","Yes","No")</f>
        <v/>
      </c>
      <c r="AC19" s="59">
        <f>IF(AA19="HH","Yes","No")</f>
        <v/>
      </c>
      <c r="AD19" s="60">
        <f>IFERROR(IF(M19&gt;0,M19-N19,0),0)</f>
        <v/>
      </c>
      <c r="AE19" s="61">
        <f>IFERROR(IF(M19&gt;0,F19*M19,IF(O19&gt;0,O19,0)),0)</f>
        <v/>
      </c>
      <c r="AF19" s="62">
        <f>IF(U19="Yes",399,0)</f>
        <v/>
      </c>
      <c r="AG19" s="61">
        <f>IFERROR(IF(N19&gt;0,F19*N19,IF(AND(AB19="Yes",O19&gt;0),O19/2,0)),0)</f>
        <v/>
      </c>
      <c r="AH19" s="61">
        <f>IFERROR(IF(AD19&gt;0,F19*AD19,IF(AND(AC19="Yes",O19&gt;0),O19/2,0)),0)</f>
        <v/>
      </c>
      <c r="AI19" s="61">
        <f>IF(AB19="Yes",AG19,0)+IF(AC19="Yes",AH19,0)+AF19</f>
        <v/>
      </c>
      <c r="AJ19" s="58">
        <f>IF(AE19=0,"",IF(ABS(AE19-(AG19+AH19))&lt;1,"✓ OK","⚠️ CHECK: Total="&amp;TEXT(AE19,"$#,##0")&amp;" vs Sides="&amp;TEXT(AG19+AH19,"$#,##0")))</f>
        <v/>
      </c>
    </row>
    <row r="20" ht="18" customHeight="1">
      <c r="A20" s="49" t="inlineStr">
        <is>
          <t>2026-016</t>
        </is>
      </c>
      <c r="B20" s="50" t="n">
        <v>46079</v>
      </c>
      <c r="C20" s="51" t="inlineStr">
        <is>
          <t>6116 Boneta, Medina 44256</t>
        </is>
      </c>
      <c r="D20" s="52" t="n"/>
      <c r="E20" s="53" t="n"/>
      <c r="F20" s="53" t="n">
        <v>541000</v>
      </c>
      <c r="G20" s="54" t="n"/>
      <c r="H20" s="54" t="n">
        <v>46085</v>
      </c>
      <c r="I20" s="55" t="inlineStr">
        <is>
          <t>CONV</t>
        </is>
      </c>
      <c r="J20" s="53" t="n">
        <v>0</v>
      </c>
      <c r="K20" s="51" t="inlineStr">
        <is>
          <t>Debbie Ferrante</t>
        </is>
      </c>
      <c r="L20" s="51" t="inlineStr">
        <is>
          <t>Eric Yetzer</t>
        </is>
      </c>
      <c r="M20" s="56" t="n">
        <v>0.02</v>
      </c>
      <c r="N20" s="56" t="n">
        <v>0</v>
      </c>
      <c r="O20" s="57" t="n"/>
      <c r="P20" s="53" t="n">
        <v>3000</v>
      </c>
      <c r="Q20" s="55" t="n"/>
      <c r="R20" s="55" t="n"/>
      <c r="S20" s="55" t="n"/>
      <c r="T20" s="55" t="n"/>
      <c r="U20" s="55" t="inlineStr">
        <is>
          <t>Yes</t>
        </is>
      </c>
      <c r="V20" s="51" t="n"/>
      <c r="W20" s="51" t="n"/>
      <c r="X20" s="51" t="n"/>
      <c r="Y20" s="55" t="inlineStr">
        <is>
          <t>Active</t>
        </is>
      </c>
      <c r="Z20" s="58">
        <f>IFERROR(VLOOKUP(K20,'👤 Agents'!$C$4:$D$200,2,FALSE),"")</f>
        <v/>
      </c>
      <c r="AA20" s="58">
        <f>IFERROR(VLOOKUP(L20,'👤 Agents'!$C$4:$D$200,2,FALSE),"")</f>
        <v/>
      </c>
      <c r="AB20" s="59">
        <f>IF(Z20="HH","Yes","No")</f>
        <v/>
      </c>
      <c r="AC20" s="59">
        <f>IF(AA20="HH","Yes","No")</f>
        <v/>
      </c>
      <c r="AD20" s="60">
        <f>IFERROR(IF(M20&gt;0,M20-N20,0),0)</f>
        <v/>
      </c>
      <c r="AE20" s="61">
        <f>IFERROR(IF(M20&gt;0,F20*M20,IF(O20&gt;0,O20,0)),0)</f>
        <v/>
      </c>
      <c r="AF20" s="62">
        <f>IF(U20="Yes",399,0)</f>
        <v/>
      </c>
      <c r="AG20" s="61">
        <f>IFERROR(IF(N20&gt;0,F20*N20,IF(AND(AB20="Yes",O20&gt;0),O20/2,0)),0)</f>
        <v/>
      </c>
      <c r="AH20" s="61">
        <f>IFERROR(IF(AD20&gt;0,F20*AD20,IF(AND(AC20="Yes",O20&gt;0),O20/2,0)),0)</f>
        <v/>
      </c>
      <c r="AI20" s="61">
        <f>IF(AB20="Yes",AG20,0)+IF(AC20="Yes",AH20,0)+AF20</f>
        <v/>
      </c>
      <c r="AJ20" s="58">
        <f>IF(AE20=0,"",IF(ABS(AE20-(AG20+AH20))&lt;1,"✓ OK","⚠️ CHECK: Total="&amp;TEXT(AE20,"$#,##0")&amp;" vs Sides="&amp;TEXT(AG20+AH20,"$#,##0")))</f>
        <v/>
      </c>
    </row>
    <row r="21" ht="18" customHeight="1">
      <c r="A21" s="49" t="inlineStr">
        <is>
          <t>2026-017</t>
        </is>
      </c>
      <c r="B21" s="50" t="n">
        <v>46079</v>
      </c>
      <c r="C21" s="51" t="inlineStr">
        <is>
          <t>2736 Applehill, Robertsville 44670</t>
        </is>
      </c>
      <c r="D21" s="52" t="n"/>
      <c r="E21" s="53" t="n"/>
      <c r="F21" s="53" t="n">
        <v>67000</v>
      </c>
      <c r="G21" s="54" t="n"/>
      <c r="H21" s="54" t="n">
        <v>46080</v>
      </c>
      <c r="I21" s="55" t="inlineStr">
        <is>
          <t>CASH</t>
        </is>
      </c>
      <c r="J21" s="53" t="n">
        <v>0</v>
      </c>
      <c r="K21" s="51" t="inlineStr">
        <is>
          <t>Vicky &amp; Beth (Shelly)</t>
        </is>
      </c>
      <c r="L21" s="51" t="inlineStr">
        <is>
          <t>Lila Wohlwend</t>
        </is>
      </c>
      <c r="M21" s="56" t="n">
        <v>0.04</v>
      </c>
      <c r="N21" s="56" t="n">
        <v>0</v>
      </c>
      <c r="O21" s="57" t="n"/>
      <c r="P21" s="53" t="n"/>
      <c r="Q21" s="55" t="n"/>
      <c r="R21" s="55" t="n"/>
      <c r="S21" s="55" t="n"/>
      <c r="T21" s="55" t="n"/>
      <c r="U21" s="55" t="inlineStr">
        <is>
          <t>Yes</t>
        </is>
      </c>
      <c r="V21" s="51" t="n"/>
      <c r="W21" s="51" t="n"/>
      <c r="X21" s="51" t="n"/>
      <c r="Y21" s="55" t="inlineStr">
        <is>
          <t>Active</t>
        </is>
      </c>
      <c r="Z21" s="58">
        <f>IFERROR(VLOOKUP(K21,'👤 Agents'!$C$4:$D$200,2,FALSE),"")</f>
        <v/>
      </c>
      <c r="AA21" s="58">
        <f>IFERROR(VLOOKUP(L21,'👤 Agents'!$C$4:$D$200,2,FALSE),"")</f>
        <v/>
      </c>
      <c r="AB21" s="59">
        <f>IF(Z21="HH","Yes","No")</f>
        <v/>
      </c>
      <c r="AC21" s="59">
        <f>IF(AA21="HH","Yes","No")</f>
        <v/>
      </c>
      <c r="AD21" s="60">
        <f>IFERROR(IF(M21&gt;0,M21-N21,0),0)</f>
        <v/>
      </c>
      <c r="AE21" s="61">
        <f>IFERROR(IF(M21&gt;0,F21*M21,IF(O21&gt;0,O21,0)),0)</f>
        <v/>
      </c>
      <c r="AF21" s="62">
        <f>IF(U21="Yes",399,0)</f>
        <v/>
      </c>
      <c r="AG21" s="61">
        <f>IFERROR(IF(N21&gt;0,F21*N21,IF(AND(AB21="Yes",O21&gt;0),O21/2,0)),0)</f>
        <v/>
      </c>
      <c r="AH21" s="61">
        <f>IFERROR(IF(AD21&gt;0,F21*AD21,IF(AND(AC21="Yes",O21&gt;0),O21/2,0)),0)</f>
        <v/>
      </c>
      <c r="AI21" s="61">
        <f>IF(AB21="Yes",AG21,0)+IF(AC21="Yes",AH21,0)+AF21</f>
        <v/>
      </c>
      <c r="AJ21" s="58">
        <f>IF(AE21=0,"",IF(ABS(AE21-(AG21+AH21))&lt;1,"✓ OK","⚠️ CHECK: Total="&amp;TEXT(AE21,"$#,##0")&amp;" vs Sides="&amp;TEXT(AG21+AH21,"$#,##0")))</f>
        <v/>
      </c>
    </row>
    <row r="22" ht="18" customHeight="1">
      <c r="A22" s="49" t="inlineStr">
        <is>
          <t>2026-018</t>
        </is>
      </c>
      <c r="B22" s="50" t="n">
        <v>46079</v>
      </c>
      <c r="C22" s="51" t="inlineStr">
        <is>
          <t>552 Main #H, Wadsworth 44281</t>
        </is>
      </c>
      <c r="D22" s="52" t="n"/>
      <c r="E22" s="53" t="n"/>
      <c r="F22" s="53" t="n">
        <v>200000</v>
      </c>
      <c r="G22" s="54" t="n"/>
      <c r="H22" s="54" t="n">
        <v>46093</v>
      </c>
      <c r="I22" s="55" t="inlineStr">
        <is>
          <t>CASH</t>
        </is>
      </c>
      <c r="J22" s="53" t="n">
        <v>0</v>
      </c>
      <c r="K22" s="51" t="inlineStr">
        <is>
          <t>Jennifer Ham</t>
        </is>
      </c>
      <c r="L22" s="51" t="inlineStr">
        <is>
          <t>Barb Lesure</t>
        </is>
      </c>
      <c r="M22" s="56" t="n">
        <v>0.025</v>
      </c>
      <c r="N22" s="56" t="n">
        <v>0</v>
      </c>
      <c r="O22" s="57" t="n"/>
      <c r="P22" s="53" t="n">
        <v>1000</v>
      </c>
      <c r="Q22" s="55" t="n"/>
      <c r="R22" s="55" t="n"/>
      <c r="S22" s="55" t="n"/>
      <c r="T22" s="55" t="n"/>
      <c r="U22" s="55" t="inlineStr">
        <is>
          <t>Yes</t>
        </is>
      </c>
      <c r="V22" s="51" t="n"/>
      <c r="W22" s="51" t="n"/>
      <c r="X22" s="51" t="n"/>
      <c r="Y22" s="55" t="inlineStr">
        <is>
          <t>Active</t>
        </is>
      </c>
      <c r="Z22" s="58">
        <f>IFERROR(VLOOKUP(K22,'👤 Agents'!$C$4:$D$200,2,FALSE),"")</f>
        <v/>
      </c>
      <c r="AA22" s="58">
        <f>IFERROR(VLOOKUP(L22,'👤 Agents'!$C$4:$D$200,2,FALSE),"")</f>
        <v/>
      </c>
      <c r="AB22" s="59">
        <f>IF(Z22="HH","Yes","No")</f>
        <v/>
      </c>
      <c r="AC22" s="59">
        <f>IF(AA22="HH","Yes","No")</f>
        <v/>
      </c>
      <c r="AD22" s="60">
        <f>IFERROR(IF(M22&gt;0,M22-N22,0),0)</f>
        <v/>
      </c>
      <c r="AE22" s="61">
        <f>IFERROR(IF(M22&gt;0,F22*M22,IF(O22&gt;0,O22,0)),0)</f>
        <v/>
      </c>
      <c r="AF22" s="62">
        <f>IF(U22="Yes",399,0)</f>
        <v/>
      </c>
      <c r="AG22" s="61">
        <f>IFERROR(IF(N22&gt;0,F22*N22,IF(AND(AB22="Yes",O22&gt;0),O22/2,0)),0)</f>
        <v/>
      </c>
      <c r="AH22" s="61">
        <f>IFERROR(IF(AD22&gt;0,F22*AD22,IF(AND(AC22="Yes",O22&gt;0),O22/2,0)),0)</f>
        <v/>
      </c>
      <c r="AI22" s="61">
        <f>IF(AB22="Yes",AG22,0)+IF(AC22="Yes",AH22,0)+AF22</f>
        <v/>
      </c>
      <c r="AJ22" s="58">
        <f>IF(AE22=0,"",IF(ABS(AE22-(AG22+AH22))&lt;1,"✓ OK","⚠️ CHECK: Total="&amp;TEXT(AE22,"$#,##0")&amp;" vs Sides="&amp;TEXT(AG22+AH22,"$#,##0")))</f>
        <v/>
      </c>
    </row>
    <row r="23" ht="18" customHeight="1">
      <c r="A23" s="49" t="inlineStr">
        <is>
          <t>2026-019</t>
        </is>
      </c>
      <c r="B23" s="50" t="n">
        <v>46079</v>
      </c>
      <c r="C23" s="51" t="inlineStr">
        <is>
          <t>1047 Ashwood, Wooster 44691</t>
        </is>
      </c>
      <c r="D23" s="52" t="n"/>
      <c r="E23" s="53" t="n">
        <v>335000</v>
      </c>
      <c r="F23" s="53" t="n">
        <v>325000</v>
      </c>
      <c r="G23" s="54" t="n">
        <v>46066</v>
      </c>
      <c r="H23" s="54" t="n">
        <v>46101</v>
      </c>
      <c r="I23" s="55" t="inlineStr">
        <is>
          <t>VA</t>
        </is>
      </c>
      <c r="J23" s="53" t="n">
        <v>0</v>
      </c>
      <c r="K23" s="51" t="inlineStr">
        <is>
          <t>Amy Marinello</t>
        </is>
      </c>
      <c r="L23" s="51" t="inlineStr">
        <is>
          <t>Kelly/Heidi</t>
        </is>
      </c>
      <c r="M23" s="56" t="n">
        <v>0.02</v>
      </c>
      <c r="N23" s="56" t="n">
        <v>0</v>
      </c>
      <c r="O23" s="57" t="n"/>
      <c r="P23" s="53" t="n"/>
      <c r="Q23" s="55" t="inlineStr">
        <is>
          <t>Title</t>
        </is>
      </c>
      <c r="R23" s="55" t="inlineStr">
        <is>
          <t>No</t>
        </is>
      </c>
      <c r="S23" s="55" t="inlineStr">
        <is>
          <t>No</t>
        </is>
      </c>
      <c r="T23" s="55" t="inlineStr">
        <is>
          <t>N/A</t>
        </is>
      </c>
      <c r="U23" s="55" t="inlineStr">
        <is>
          <t>Yes</t>
        </is>
      </c>
      <c r="V23" s="51" t="n"/>
      <c r="W23" s="51" t="n"/>
      <c r="X23" s="51" t="n"/>
      <c r="Y23" s="55" t="inlineStr">
        <is>
          <t>Active</t>
        </is>
      </c>
      <c r="Z23" s="58">
        <f>IFERROR(VLOOKUP(K23,'👤 Agents'!$C$4:$D$200,2,FALSE),"")</f>
        <v/>
      </c>
      <c r="AA23" s="58">
        <f>IFERROR(VLOOKUP(L23,'👤 Agents'!$C$4:$D$200,2,FALSE),"")</f>
        <v/>
      </c>
      <c r="AB23" s="59">
        <f>IF(Z23="HH","Yes","No")</f>
        <v/>
      </c>
      <c r="AC23" s="59">
        <f>IF(AA23="HH","Yes","No")</f>
        <v/>
      </c>
      <c r="AD23" s="60">
        <f>IFERROR(IF(M23&gt;0,M23-N23,0),0)</f>
        <v/>
      </c>
      <c r="AE23" s="61">
        <f>IFERROR(IF(M23&gt;0,F23*M23,IF(O23&gt;0,O23,0)),0)</f>
        <v/>
      </c>
      <c r="AF23" s="62">
        <f>IF(U23="Yes",399,0)</f>
        <v/>
      </c>
      <c r="AG23" s="61">
        <f>IFERROR(IF(N23&gt;0,F23*N23,IF(AND(AB23="Yes",O23&gt;0),O23/2,0)),0)</f>
        <v/>
      </c>
      <c r="AH23" s="61">
        <f>IFERROR(IF(AD23&gt;0,F23*AD23,IF(AND(AC23="Yes",O23&gt;0),O23/2,0)),0)</f>
        <v/>
      </c>
      <c r="AI23" s="61">
        <f>IF(AB23="Yes",AG23,0)+IF(AC23="Yes",AH23,0)+AF23</f>
        <v/>
      </c>
      <c r="AJ23" s="58">
        <f>IF(AE23=0,"",IF(ABS(AE23-(AG23+AH23))&lt;1,"✓ OK","⚠️ CHECK: Total="&amp;TEXT(AE23,"$#,##0")&amp;" vs Sides="&amp;TEXT(AG23+AH23,"$#,##0")))</f>
        <v/>
      </c>
    </row>
    <row r="24" ht="18" customHeight="1">
      <c r="A24" s="49" t="inlineStr">
        <is>
          <t>2026-020</t>
        </is>
      </c>
      <c r="B24" s="50" t="n">
        <v>46079</v>
      </c>
      <c r="C24" s="51" t="inlineStr">
        <is>
          <t>18592 Edwards #169, Doylestown 44230</t>
        </is>
      </c>
      <c r="D24" s="52" t="n"/>
      <c r="E24" s="53" t="n">
        <v>34900</v>
      </c>
      <c r="F24" s="53" t="n">
        <v>30000</v>
      </c>
      <c r="G24" s="54" t="n">
        <v>46071</v>
      </c>
      <c r="H24" s="54" t="n">
        <v>46084</v>
      </c>
      <c r="I24" s="55" t="inlineStr">
        <is>
          <t>CASH</t>
        </is>
      </c>
      <c r="J24" s="53" t="n">
        <v>0</v>
      </c>
      <c r="K24" s="51" t="inlineStr">
        <is>
          <t>Vicky &amp; Beth</t>
        </is>
      </c>
      <c r="L24" s="51" t="inlineStr">
        <is>
          <t>Melissa Steiner</t>
        </is>
      </c>
      <c r="M24" s="56" t="n">
        <v>0</v>
      </c>
      <c r="N24" s="56" t="n">
        <v>0</v>
      </c>
      <c r="O24" s="57" t="n">
        <v>4000</v>
      </c>
      <c r="P24" s="53" t="n"/>
      <c r="Q24" s="55" t="n"/>
      <c r="R24" s="55" t="inlineStr">
        <is>
          <t>No</t>
        </is>
      </c>
      <c r="S24" s="55" t="inlineStr">
        <is>
          <t>No</t>
        </is>
      </c>
      <c r="T24" s="55" t="inlineStr">
        <is>
          <t>N/A</t>
        </is>
      </c>
      <c r="U24" s="55" t="inlineStr">
        <is>
          <t>No</t>
        </is>
      </c>
      <c r="V24" s="51" t="inlineStr">
        <is>
          <t>NA</t>
        </is>
      </c>
      <c r="W24" s="51" t="n"/>
      <c r="X24" s="51" t="n"/>
      <c r="Y24" s="55" t="inlineStr">
        <is>
          <t>Active</t>
        </is>
      </c>
      <c r="Z24" s="58">
        <f>IFERROR(VLOOKUP(K24,'👤 Agents'!$C$4:$D$200,2,FALSE),"")</f>
        <v/>
      </c>
      <c r="AA24" s="58">
        <f>IFERROR(VLOOKUP(L24,'👤 Agents'!$C$4:$D$200,2,FALSE),"")</f>
        <v/>
      </c>
      <c r="AB24" s="59">
        <f>IF(Z24="HH","Yes","No")</f>
        <v/>
      </c>
      <c r="AC24" s="59">
        <f>IF(AA24="HH","Yes","No")</f>
        <v/>
      </c>
      <c r="AD24" s="60">
        <f>IFERROR(IF(M24&gt;0,M24-N24,0),0)</f>
        <v/>
      </c>
      <c r="AE24" s="61">
        <f>IFERROR(IF(M24&gt;0,F24*M24,IF(O24&gt;0,O24,0)),0)</f>
        <v/>
      </c>
      <c r="AF24" s="62">
        <f>IF(U24="Yes",399,0)</f>
        <v/>
      </c>
      <c r="AG24" s="61">
        <f>IFERROR(IF(N24&gt;0,F24*N24,IF(AND(AB24="Yes",O24&gt;0),O24/2,0)),0)</f>
        <v/>
      </c>
      <c r="AH24" s="61">
        <f>IFERROR(IF(AD24&gt;0,F24*AD24,IF(AND(AC24="Yes",O24&gt;0),O24/2,0)),0)</f>
        <v/>
      </c>
      <c r="AI24" s="61">
        <f>IF(AB24="Yes",AG24,0)+IF(AC24="Yes",AH24,0)+AF24</f>
        <v/>
      </c>
      <c r="AJ24" s="58">
        <f>IF(AE24=0,"",IF(ABS(AE24-(AG24+AH24))&lt;1,"✓ OK","⚠️ CHECK: Total="&amp;TEXT(AE24,"$#,##0")&amp;" vs Sides="&amp;TEXT(AG24+AH24,"$#,##0")))</f>
        <v/>
      </c>
    </row>
    <row r="25" ht="18" customHeight="1">
      <c r="A25" s="49" t="inlineStr">
        <is>
          <t>2026-021</t>
        </is>
      </c>
      <c r="B25" s="50" t="n">
        <v>46079</v>
      </c>
      <c r="C25" s="51" t="inlineStr">
        <is>
          <t>536 Austin, Akron 44320</t>
        </is>
      </c>
      <c r="D25" s="52" t="n"/>
      <c r="E25" s="53" t="n">
        <v>134900</v>
      </c>
      <c r="F25" s="53" t="n">
        <v>134900</v>
      </c>
      <c r="G25" s="54" t="n">
        <v>46070</v>
      </c>
      <c r="H25" s="54" t="n">
        <v>46100</v>
      </c>
      <c r="I25" s="55" t="inlineStr">
        <is>
          <t>CONV</t>
        </is>
      </c>
      <c r="J25" s="53" t="n">
        <v>0</v>
      </c>
      <c r="K25" s="51" t="inlineStr">
        <is>
          <t>Kelly Watts</t>
        </is>
      </c>
      <c r="L25" s="51" t="inlineStr">
        <is>
          <t>Deb Shreiner</t>
        </is>
      </c>
      <c r="M25" s="56" t="n">
        <v>0</v>
      </c>
      <c r="N25" s="56" t="n">
        <v>0</v>
      </c>
      <c r="O25" s="57" t="n">
        <v>7070.5</v>
      </c>
      <c r="P25" s="53" t="n"/>
      <c r="Q25" s="55" t="inlineStr">
        <is>
          <t>Title</t>
        </is>
      </c>
      <c r="R25" s="55" t="inlineStr">
        <is>
          <t>No</t>
        </is>
      </c>
      <c r="S25" s="55" t="inlineStr">
        <is>
          <t>No</t>
        </is>
      </c>
      <c r="T25" s="55" t="inlineStr">
        <is>
          <t>N/A</t>
        </is>
      </c>
      <c r="U25" s="55" t="inlineStr">
        <is>
          <t>Yes</t>
        </is>
      </c>
      <c r="V25" s="51" t="inlineStr">
        <is>
          <t>First Security</t>
        </is>
      </c>
      <c r="W25" s="51" t="n"/>
      <c r="X25" s="51" t="n"/>
      <c r="Y25" s="55" t="inlineStr">
        <is>
          <t>Active</t>
        </is>
      </c>
      <c r="Z25" s="58">
        <f>IFERROR(VLOOKUP(K25,'👤 Agents'!$C$4:$D$200,2,FALSE),"")</f>
        <v/>
      </c>
      <c r="AA25" s="58">
        <f>IFERROR(VLOOKUP(L25,'👤 Agents'!$C$4:$D$200,2,FALSE),"")</f>
        <v/>
      </c>
      <c r="AB25" s="59">
        <f>IF(Z25="HH","Yes","No")</f>
        <v/>
      </c>
      <c r="AC25" s="59">
        <f>IF(AA25="HH","Yes","No")</f>
        <v/>
      </c>
      <c r="AD25" s="60">
        <f>IFERROR(IF(M25&gt;0,M25-N25,0),0)</f>
        <v/>
      </c>
      <c r="AE25" s="61">
        <f>IFERROR(IF(M25&gt;0,F25*M25,IF(O25&gt;0,O25,0)),0)</f>
        <v/>
      </c>
      <c r="AF25" s="62">
        <f>IF(U25="Yes",399,0)</f>
        <v/>
      </c>
      <c r="AG25" s="61">
        <f>IFERROR(IF(N25&gt;0,F25*N25,IF(AND(AB25="Yes",O25&gt;0),O25/2,0)),0)</f>
        <v/>
      </c>
      <c r="AH25" s="61">
        <f>IFERROR(IF(AD25&gt;0,F25*AD25,IF(AND(AC25="Yes",O25&gt;0),O25/2,0)),0)</f>
        <v/>
      </c>
      <c r="AI25" s="61">
        <f>IF(AB25="Yes",AG25,0)+IF(AC25="Yes",AH25,0)+AF25</f>
        <v/>
      </c>
      <c r="AJ25" s="58">
        <f>IF(AE25=0,"",IF(ABS(AE25-(AG25+AH25))&lt;1,"✓ OK","⚠️ CHECK: Total="&amp;TEXT(AE25,"$#,##0")&amp;" vs Sides="&amp;TEXT(AG25+AH25,"$#,##0")))</f>
        <v/>
      </c>
    </row>
    <row r="26" ht="18" customHeight="1">
      <c r="A26" s="49" t="inlineStr">
        <is>
          <t>2026-022</t>
        </is>
      </c>
      <c r="B26" s="50" t="n">
        <v>46079</v>
      </c>
      <c r="C26" s="51" t="inlineStr">
        <is>
          <t>349 E Hopocan, Barberton 44203</t>
        </is>
      </c>
      <c r="D26" s="52" t="n">
        <v>3203612</v>
      </c>
      <c r="E26" s="53" t="n">
        <v>105000</v>
      </c>
      <c r="F26" s="53" t="n">
        <v>108000</v>
      </c>
      <c r="G26" s="54" t="n">
        <v>46075</v>
      </c>
      <c r="H26" s="54" t="n">
        <v>46108</v>
      </c>
      <c r="I26" s="55" t="inlineStr">
        <is>
          <t>FHA</t>
        </is>
      </c>
      <c r="J26" s="53" t="n">
        <v>5500</v>
      </c>
      <c r="K26" s="51" t="inlineStr">
        <is>
          <t>Barb Lesure</t>
        </is>
      </c>
      <c r="L26" s="51" t="inlineStr">
        <is>
          <t>Brenda Verbeka</t>
        </is>
      </c>
      <c r="M26" s="56" t="n">
        <v>0.07000000000000001</v>
      </c>
      <c r="N26" s="56" t="n">
        <v>0.045</v>
      </c>
      <c r="O26" s="57" t="n"/>
      <c r="P26" s="53" t="n">
        <v>500</v>
      </c>
      <c r="Q26" s="55" t="inlineStr">
        <is>
          <t>HH</t>
        </is>
      </c>
      <c r="R26" s="55" t="inlineStr">
        <is>
          <t>Yes</t>
        </is>
      </c>
      <c r="S26" s="55" t="inlineStr">
        <is>
          <t>Yes</t>
        </is>
      </c>
      <c r="T26" s="55" t="inlineStr">
        <is>
          <t>Buyer</t>
        </is>
      </c>
      <c r="U26" s="55" t="inlineStr">
        <is>
          <t>Yes</t>
        </is>
      </c>
      <c r="V26" s="51" t="inlineStr">
        <is>
          <t>Ohio Real Title</t>
        </is>
      </c>
      <c r="W26" s="51" t="n"/>
      <c r="X26" s="51" t="n"/>
      <c r="Y26" s="55" t="inlineStr">
        <is>
          <t>Active</t>
        </is>
      </c>
      <c r="Z26" s="58">
        <f>IFERROR(VLOOKUP(K26,'👤 Agents'!$C$4:$D$200,2,FALSE),"")</f>
        <v/>
      </c>
      <c r="AA26" s="58">
        <f>IFERROR(VLOOKUP(L26,'👤 Agents'!$C$4:$D$200,2,FALSE),"")</f>
        <v/>
      </c>
      <c r="AB26" s="59">
        <f>IF(Z26="HH","Yes","No")</f>
        <v/>
      </c>
      <c r="AC26" s="59">
        <f>IF(AA26="HH","Yes","No")</f>
        <v/>
      </c>
      <c r="AD26" s="60">
        <f>IFERROR(IF(M26&gt;0,M26-N26,0),0)</f>
        <v/>
      </c>
      <c r="AE26" s="61">
        <f>IFERROR(IF(M26&gt;0,F26*M26,IF(O26&gt;0,O26,0)),0)</f>
        <v/>
      </c>
      <c r="AF26" s="62">
        <f>IF(U26="Yes",399,0)</f>
        <v/>
      </c>
      <c r="AG26" s="61">
        <f>IFERROR(IF(N26&gt;0,F26*N26,IF(AND(AB26="Yes",O26&gt;0),O26/2,0)),0)</f>
        <v/>
      </c>
      <c r="AH26" s="61">
        <f>IFERROR(IF(AD26&gt;0,F26*AD26,IF(AND(AC26="Yes",O26&gt;0),O26/2,0)),0)</f>
        <v/>
      </c>
      <c r="AI26" s="61">
        <f>IF(AB26="Yes",AG26,0)+IF(AC26="Yes",AH26,0)+AF26</f>
        <v/>
      </c>
      <c r="AJ26" s="58">
        <f>IF(AE26=0,"",IF(ABS(AE26-(AG26+AH26))&lt;1,"✓ OK","⚠️ CHECK: Total="&amp;TEXT(AE26,"$#,##0")&amp;" vs Sides="&amp;TEXT(AG26+AH26,"$#,##0")))</f>
        <v/>
      </c>
    </row>
    <row r="27" ht="18" customHeight="1">
      <c r="A27" s="49" t="inlineStr">
        <is>
          <t>2026-023</t>
        </is>
      </c>
      <c r="B27" s="50" t="n">
        <v>46079</v>
      </c>
      <c r="C27" s="51" t="inlineStr">
        <is>
          <t>12249 Whitman, Doylestown 44230</t>
        </is>
      </c>
      <c r="D27" s="52" t="n">
        <v>3205909</v>
      </c>
      <c r="E27" s="53" t="n">
        <v>199900</v>
      </c>
      <c r="F27" s="53" t="n">
        <v>185500</v>
      </c>
      <c r="G27" s="54" t="n">
        <v>46076</v>
      </c>
      <c r="H27" s="54" t="n">
        <v>46118</v>
      </c>
      <c r="I27" s="55" t="inlineStr">
        <is>
          <t>CONV</t>
        </is>
      </c>
      <c r="J27" s="53" t="n">
        <v>5500</v>
      </c>
      <c r="K27" s="51" t="inlineStr">
        <is>
          <t>Vicky &amp; Beth</t>
        </is>
      </c>
      <c r="L27" s="51" t="inlineStr">
        <is>
          <t>Christine Conkle</t>
        </is>
      </c>
      <c r="M27" s="56" t="n">
        <v>0.05</v>
      </c>
      <c r="N27" s="56" t="n">
        <v>0.03</v>
      </c>
      <c r="O27" s="57" t="n"/>
      <c r="P27" s="53" t="n">
        <v>1000</v>
      </c>
      <c r="Q27" s="55" t="inlineStr">
        <is>
          <t>Other</t>
        </is>
      </c>
      <c r="R27" s="55" t="inlineStr">
        <is>
          <t>Yes</t>
        </is>
      </c>
      <c r="S27" s="55" t="inlineStr">
        <is>
          <t>Yes</t>
        </is>
      </c>
      <c r="T27" s="55" t="inlineStr">
        <is>
          <t>Seller</t>
        </is>
      </c>
      <c r="U27" s="55" t="inlineStr">
        <is>
          <t>Yes</t>
        </is>
      </c>
      <c r="V27" s="51" t="inlineStr">
        <is>
          <t>Kropf (Orrville Law)</t>
        </is>
      </c>
      <c r="W27" s="51" t="n"/>
      <c r="X27" s="51" t="n"/>
      <c r="Y27" s="55" t="inlineStr">
        <is>
          <t>Active</t>
        </is>
      </c>
      <c r="Z27" s="58">
        <f>IFERROR(VLOOKUP(K27,'👤 Agents'!$C$4:$D$200,2,FALSE),"")</f>
        <v/>
      </c>
      <c r="AA27" s="58">
        <f>IFERROR(VLOOKUP(L27,'👤 Agents'!$C$4:$D$200,2,FALSE),"")</f>
        <v/>
      </c>
      <c r="AB27" s="59">
        <f>IF(Z27="HH","Yes","No")</f>
        <v/>
      </c>
      <c r="AC27" s="59">
        <f>IF(AA27="HH","Yes","No")</f>
        <v/>
      </c>
      <c r="AD27" s="60">
        <f>IFERROR(IF(M27&gt;0,M27-N27,0),0)</f>
        <v/>
      </c>
      <c r="AE27" s="61">
        <f>IFERROR(IF(M27&gt;0,F27*M27,IF(O27&gt;0,O27,0)),0)</f>
        <v/>
      </c>
      <c r="AF27" s="62">
        <f>IF(U27="Yes",399,0)</f>
        <v/>
      </c>
      <c r="AG27" s="61">
        <f>IFERROR(IF(N27&gt;0,F27*N27,IF(AND(AB27="Yes",O27&gt;0),O27/2,0)),0)</f>
        <v/>
      </c>
      <c r="AH27" s="61">
        <f>IFERROR(IF(AD27&gt;0,F27*AD27,IF(AND(AC27="Yes",O27&gt;0),O27/2,0)),0)</f>
        <v/>
      </c>
      <c r="AI27" s="61">
        <f>IF(AB27="Yes",AG27,0)+IF(AC27="Yes",AH27,0)+AF27</f>
        <v/>
      </c>
      <c r="AJ27" s="58">
        <f>IF(AE27=0,"",IF(ABS(AE27-(AG27+AH27))&lt;1,"✓ OK","⚠️ CHECK: Total="&amp;TEXT(AE27,"$#,##0")&amp;" vs Sides="&amp;TEXT(AG27+AH27,"$#,##0")))</f>
        <v/>
      </c>
    </row>
    <row r="28" ht="18" customHeight="1">
      <c r="A28" s="49" t="inlineStr">
        <is>
          <t>2026-024</t>
        </is>
      </c>
      <c r="B28" s="50" t="n">
        <v>46079</v>
      </c>
      <c r="C28" s="51" t="inlineStr">
        <is>
          <t>3179 Vanderhoof, Clinton 44216</t>
        </is>
      </c>
      <c r="D28" s="52" t="n"/>
      <c r="E28" s="53" t="n">
        <v>189900</v>
      </c>
      <c r="F28" s="53" t="n">
        <v>200000</v>
      </c>
      <c r="G28" s="54" t="n">
        <v>46075</v>
      </c>
      <c r="H28" s="54" t="n">
        <v>46115</v>
      </c>
      <c r="I28" s="55" t="inlineStr">
        <is>
          <t>CONV</t>
        </is>
      </c>
      <c r="J28" s="53" t="n">
        <v>0</v>
      </c>
      <c r="K28" s="51" t="inlineStr">
        <is>
          <t>Sonja Halstead</t>
        </is>
      </c>
      <c r="L28" s="51" t="inlineStr">
        <is>
          <t>Rebbecca Tessanne</t>
        </is>
      </c>
      <c r="M28" s="56" t="n">
        <v>0</v>
      </c>
      <c r="N28" s="56" t="n">
        <v>0</v>
      </c>
      <c r="O28" s="57" t="n"/>
      <c r="P28" s="53" t="n">
        <v>1000</v>
      </c>
      <c r="Q28" s="55" t="inlineStr">
        <is>
          <t>HH</t>
        </is>
      </c>
      <c r="R28" s="55" t="inlineStr">
        <is>
          <t>No</t>
        </is>
      </c>
      <c r="S28" s="55" t="inlineStr">
        <is>
          <t>No</t>
        </is>
      </c>
      <c r="T28" s="55" t="inlineStr">
        <is>
          <t>N/A</t>
        </is>
      </c>
      <c r="U28" s="55" t="inlineStr">
        <is>
          <t>Yes</t>
        </is>
      </c>
      <c r="V28" s="51" t="inlineStr">
        <is>
          <t>First Meridian</t>
        </is>
      </c>
      <c r="W28" s="51" t="n"/>
      <c r="X28" s="51" t="n"/>
      <c r="Y28" s="55" t="inlineStr">
        <is>
          <t>Active</t>
        </is>
      </c>
      <c r="Z28" s="58">
        <f>IFERROR(VLOOKUP(K28,'👤 Agents'!$C$4:$D$200,2,FALSE),"")</f>
        <v/>
      </c>
      <c r="AA28" s="58">
        <f>IFERROR(VLOOKUP(L28,'👤 Agents'!$C$4:$D$200,2,FALSE),"")</f>
        <v/>
      </c>
      <c r="AB28" s="59">
        <f>IF(Z28="HH","Yes","No")</f>
        <v/>
      </c>
      <c r="AC28" s="59">
        <f>IF(AA28="HH","Yes","No")</f>
        <v/>
      </c>
      <c r="AD28" s="60">
        <f>IFERROR(IF(M28&gt;0,M28-N28,0),0)</f>
        <v/>
      </c>
      <c r="AE28" s="61">
        <f>IFERROR(IF(M28&gt;0,F28*M28,IF(O28&gt;0,O28,0)),0)</f>
        <v/>
      </c>
      <c r="AF28" s="62">
        <f>IF(U28="Yes",399,0)</f>
        <v/>
      </c>
      <c r="AG28" s="61">
        <f>IFERROR(IF(N28&gt;0,F28*N28,IF(AND(AB28="Yes",O28&gt;0),O28/2,0)),0)</f>
        <v/>
      </c>
      <c r="AH28" s="61">
        <f>IFERROR(IF(AD28&gt;0,F28*AD28,IF(AND(AC28="Yes",O28&gt;0),O28/2,0)),0)</f>
        <v/>
      </c>
      <c r="AI28" s="61">
        <f>IF(AB28="Yes",AG28,0)+IF(AC28="Yes",AH28,0)+AF28</f>
        <v/>
      </c>
      <c r="AJ28" s="58">
        <f>IF(AE28=0,"",IF(ABS(AE28-(AG28+AH28))&lt;1,"✓ OK","⚠️ CHECK: Total="&amp;TEXT(AE28,"$#,##0")&amp;" vs Sides="&amp;TEXT(AG28+AH28,"$#,##0")))</f>
        <v/>
      </c>
    </row>
  </sheetData>
  <sheetProtection selectLockedCells="1" selectUnlockedCells="1" sheet="1" objects="0" insertRows="1" insertHyperlinks="0" autoFilter="1" scenarios="0" formatColumns="0" deleteColumns="0" insertColumns="0" pivotTables="1" deleteRows="1" formatCells="0" formatRows="0" sort="1" password="CB13"/>
  <mergeCells count="6">
    <mergeCell ref="A2:Y2"/>
    <mergeCell ref="Z3:AJ3"/>
    <mergeCell ref="C3:Y3"/>
    <mergeCell ref="Z2:AJ2"/>
    <mergeCell ref="A3:B3"/>
    <mergeCell ref="A1:AJ1"/>
  </mergeCells>
  <conditionalFormatting sqref="C5:Y200">
    <cfRule type="expression" priority="1" dxfId="0" stopIfTrue="1">
      <formula>=$Y5="BOMB"</formula>
    </cfRule>
    <cfRule type="expression" priority="2" dxfId="1" stopIfTrue="1">
      <formula>=$Y5="Closed"</formula>
    </cfRule>
  </conditionalFormatting>
  <conditionalFormatting sqref="AJ5:AJ200">
    <cfRule type="expression" priority="3" dxfId="2">
      <formula>=NOT(ISERROR(FIND("CHECK",AJ5)))</formula>
    </cfRule>
  </conditionalFormatting>
  <conditionalFormatting sqref="H5:H200">
    <cfRule type="expression" priority="4" dxfId="3">
      <formula>=AND(H5&lt;TODAY(),H5&lt;&gt;"",Y5="Active")</formula>
    </cfRule>
  </conditionalFormatting>
  <dataValidations count="11">
    <dataValidation sqref="I5:I200" showDropDown="0" showInputMessage="0" showErrorMessage="1" allowBlank="1" errorTitle="Invalid Entry" error="Invalid value. Use the dropdown." type="list">
      <formula1>"CONV,FHA,VA,CASH,New Const,Eq. Ln,Other"</formula1>
    </dataValidation>
    <dataValidation sqref="Q5:Q200" showDropDown="0" showInputMessage="0" showErrorMessage="1" allowBlank="1" errorTitle="Invalid Entry" error="Invalid value. Use the dropdown." type="list">
      <formula1>"HH,Title,CoBroke,Buyer,Seller,N/A,Other"</formula1>
    </dataValidation>
    <dataValidation sqref="R5:R200" showDropDown="0" showInputMessage="0" showErrorMessage="1" allowBlank="1" errorTitle="Invalid Entry" error="Invalid value. Use the dropdown." type="list">
      <formula1>"Yes,No"</formula1>
    </dataValidation>
    <dataValidation sqref="S5:S200" showDropDown="0" showInputMessage="0" showErrorMessage="1" allowBlank="1" errorTitle="Invalid Entry" error="Invalid value. Use the dropdown." type="list">
      <formula1>"Yes,No"</formula1>
    </dataValidation>
    <dataValidation sqref="T5:T200" showDropDown="0" showInputMessage="0" showErrorMessage="1" allowBlank="1" errorTitle="Invalid Entry" error="Invalid value. Use the dropdown." type="list">
      <formula1>"Seller,Buyer,Split,Other,N/A"</formula1>
    </dataValidation>
    <dataValidation sqref="U5:U200" showDropDown="0" showInputMessage="0" showErrorMessage="1" allowBlank="1" errorTitle="Invalid Entry" error="Invalid value. Use the dropdown." type="list">
      <formula1>"Yes,No"</formula1>
    </dataValidation>
    <dataValidation sqref="Y5:Y200" showDropDown="0" showInputMessage="0" showErrorMessage="1" allowBlank="1" errorTitle="Invalid Entry" error="Invalid value. Use the dropdown." type="list">
      <formula1>"Active,Closed,BOMB"</formula1>
    </dataValidation>
    <dataValidation sqref="K5:K200" showDropDown="0" showInputMessage="0" showErrorMessage="1" allowBlank="1" errorTitle="Invalid Entry" error="Invalid value. Use the dropdown." type="list">
      <formula1>AgentNameList</formula1>
    </dataValidation>
    <dataValidation sqref="L5:L200" showDropDown="0" showInputMessage="0" showErrorMessage="1" allowBlank="1" errorTitle="Invalid Entry" error="Invalid value. Use the dropdown." type="list">
      <formula1>AgentNameList</formula1>
    </dataValidation>
    <dataValidation sqref="G5:H200" showDropDown="0" showInputMessage="0" showErrorMessage="1" allowBlank="1" errorTitle="Invalid Date" error="Please enter a valid date (mm/dd/yyyy)." type="date" operator="greaterThan">
      <formula1>DATE(2000,1,1)</formula1>
    </dataValidation>
    <dataValidation sqref="E5:F200" showDropDown="0" showInputMessage="0" showErrorMessage="1" allowBlank="1" errorTitle="Invalid Amount" error="Please enter a number greater than or equal to 0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AV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32" customHeight="1">
      <c r="A1" s="28" t="inlineStr">
        <is>
          <t>✅  TRANSACTION CHECKLIST  —  Track paperwork and action items for each transaction</t>
        </is>
      </c>
    </row>
    <row r="2" ht="16" customHeight="1">
      <c r="A2" s="42" t="inlineStr">
        <is>
          <t>Use the dropdown in each cell: Not Started | In Progress | Waiting | Complete | N/A</t>
        </is>
      </c>
    </row>
    <row r="3" ht="16" customHeight="1">
      <c r="A3" s="63" t="n"/>
      <c r="B3" s="63" t="n"/>
      <c r="C3" s="64" t="inlineStr">
        <is>
          <t>CHECK PAPERWORK</t>
        </is>
      </c>
      <c r="S3" s="65" t="inlineStr">
        <is>
          <t>ACTION ITEMS</t>
        </is>
      </c>
      <c r="AD3" s="66" t="inlineStr">
        <is>
          <t>EM / COMMISSION / HW</t>
        </is>
      </c>
      <c r="AK3" s="67" t="inlineStr">
        <is>
          <t>CLOSED SALE</t>
        </is>
      </c>
      <c r="AP3" s="68" t="inlineStr">
        <is>
          <t>FALLEN SALE (BOMB)</t>
        </is>
      </c>
    </row>
    <row r="4" ht="48" customHeight="1">
      <c r="A4" s="69" t="inlineStr">
        <is>
          <t>Txn ID</t>
        </is>
      </c>
      <c r="B4" s="69" t="inlineStr">
        <is>
          <t>Address</t>
        </is>
      </c>
      <c r="C4" s="70" t="inlineStr">
        <is>
          <t>MLS Printout</t>
        </is>
      </c>
      <c r="D4" s="70" t="inlineStr">
        <is>
          <t>FHA/VA Addendum</t>
        </is>
      </c>
      <c r="E4" s="70" t="inlineStr">
        <is>
          <t>Agency Disclosure</t>
        </is>
      </c>
      <c r="F4" s="70" t="inlineStr">
        <is>
          <t>Condo Addendum</t>
        </is>
      </c>
      <c r="G4" s="70" t="inlineStr">
        <is>
          <t>Consumer Guide</t>
        </is>
      </c>
      <c r="H4" s="70" t="inlineStr">
        <is>
          <t>Purchase Agreement</t>
        </is>
      </c>
      <c r="I4" s="70" t="inlineStr">
        <is>
          <t>ABA</t>
        </is>
      </c>
      <c r="J4" s="70" t="inlineStr">
        <is>
          <t>ABA (POD)</t>
        </is>
      </c>
      <c r="K4" s="70" t="inlineStr">
        <is>
          <t>Property Disclosure</t>
        </is>
      </c>
      <c r="L4" s="70" t="inlineStr">
        <is>
          <t>Home Warranty App Received</t>
        </is>
      </c>
      <c r="M4" s="70" t="inlineStr">
        <is>
          <t>EBRA</t>
        </is>
      </c>
      <c r="N4" s="70" t="inlineStr">
        <is>
          <t>Lead-Based Paint Disclosure</t>
        </is>
      </c>
      <c r="O4" s="70" t="inlineStr">
        <is>
          <t>Other Documents</t>
        </is>
      </c>
      <c r="P4" s="70" t="inlineStr">
        <is>
          <t>Home Inspection Disclosure</t>
        </is>
      </c>
      <c r="Q4" s="70" t="inlineStr">
        <is>
          <t>Anti-Fraud Disclosure</t>
        </is>
      </c>
      <c r="R4" s="70" t="inlineStr">
        <is>
          <t>Pre-Approval / Proof of Funds</t>
        </is>
      </c>
      <c r="S4" s="71" t="inlineStr">
        <is>
          <t>Change MLS Status (Our Listing)</t>
        </is>
      </c>
      <c r="T4" s="71" t="inlineStr">
        <is>
          <t>Create Sale File — ZipForms</t>
        </is>
      </c>
      <c r="U4" s="71" t="inlineStr">
        <is>
          <t>Add EBRA to ZipForms (Our Buyer)</t>
        </is>
      </c>
      <c r="V4" s="71" t="inlineStr">
        <is>
          <t>Sent to Data Entry</t>
        </is>
      </c>
      <c r="W4" s="71" t="inlineStr">
        <is>
          <t>Prestart Sent to Title Co.</t>
        </is>
      </c>
      <c r="X4" s="71" t="inlineStr">
        <is>
          <t>Scan Notice to HHMS (Our Buyer)</t>
        </is>
      </c>
      <c r="Y4" s="71" t="inlineStr">
        <is>
          <t>Log in Sales Book/Board</t>
        </is>
      </c>
      <c r="Z4" s="71" t="inlineStr">
        <is>
          <t>FB Post / Update Window Sheet (Our Listing)</t>
        </is>
      </c>
      <c r="AA4" s="71" t="inlineStr">
        <is>
          <t>Record on Rob's Spreadsheet</t>
        </is>
      </c>
      <c r="AB4" s="71" t="inlineStr">
        <is>
          <t>Register Buyer in EBRA Database</t>
        </is>
      </c>
      <c r="AC4" s="71" t="inlineStr">
        <is>
          <t>Home Warranty Ordered</t>
        </is>
      </c>
      <c r="AD4" s="72" t="inlineStr">
        <is>
          <t>Earnest Money Received &amp; Deposited</t>
        </is>
      </c>
      <c r="AE4" s="72" t="inlineStr">
        <is>
          <t>EM Deposit Method</t>
        </is>
      </c>
      <c r="AF4" s="72" t="inlineStr">
        <is>
          <t>EM Sent to Accounting</t>
        </is>
      </c>
      <c r="AG4" s="72" t="inlineStr">
        <is>
          <t>Copy in P: Drive / ZipForms</t>
        </is>
      </c>
      <c r="AH4" s="72" t="inlineStr">
        <is>
          <t>Send Commission Invoice to Title</t>
        </is>
      </c>
      <c r="AI4" s="72" t="inlineStr">
        <is>
          <t>Manager Sales Sheet to E-Sign</t>
        </is>
      </c>
      <c r="AJ4" s="72" t="inlineStr">
        <is>
          <t>Commission Invoice — P Drive</t>
        </is>
      </c>
      <c r="AK4" s="73" t="inlineStr">
        <is>
          <t>Social Media SOLD Post</t>
        </is>
      </c>
      <c r="AL4" s="73" t="inlineStr">
        <is>
          <t>Mark Sold in MLS</t>
        </is>
      </c>
      <c r="AM4" s="73" t="inlineStr">
        <is>
          <t>Order Post Sign Down</t>
        </is>
      </c>
      <c r="AN4" s="73" t="inlineStr">
        <is>
          <t>Move to Closed — ZipForms</t>
        </is>
      </c>
      <c r="AO4" s="73" t="inlineStr">
        <is>
          <t>Take Sheet Out of Front Window</t>
        </is>
      </c>
      <c r="AP4" s="74" t="inlineStr">
        <is>
          <t>[BOMB] Change MLS Status</t>
        </is>
      </c>
      <c r="AQ4" s="74" t="inlineStr">
        <is>
          <t>[BOMB] Mutual Release to Susan Ipavec</t>
        </is>
      </c>
      <c r="AR4" s="74" t="inlineStr">
        <is>
          <t>[BOMB] Notify Title Co.</t>
        </is>
      </c>
      <c r="AS4" s="74" t="inlineStr">
        <is>
          <t>[BOMB] Coded in PP</t>
        </is>
      </c>
      <c r="AT4" s="74" t="inlineStr">
        <is>
          <t>[BOMB] Home Warranty Notified/Canceled</t>
        </is>
      </c>
      <c r="AU4" s="74" t="inlineStr">
        <is>
          <t>[BOMB] Change Status in ZipForms</t>
        </is>
      </c>
      <c r="AV4" s="74" t="inlineStr">
        <is>
          <t>[BOMB] Change Window Sheet</t>
        </is>
      </c>
    </row>
    <row r="5" ht="18" customHeight="1">
      <c r="A5" s="75" t="inlineStr">
        <is>
          <t>2026-001</t>
        </is>
      </c>
      <c r="B5" s="76">
        <f>IFERROR(VLOOKUP(A5,'🗄️ Transactions'!$A:$C,3,FALSE),"")</f>
        <v/>
      </c>
      <c r="C5" s="77" t="inlineStr">
        <is>
          <t>Complete</t>
        </is>
      </c>
      <c r="D5" s="77" t="inlineStr">
        <is>
          <t>Complete</t>
        </is>
      </c>
      <c r="E5" s="77" t="inlineStr">
        <is>
          <t>Complete</t>
        </is>
      </c>
      <c r="F5" s="77" t="inlineStr">
        <is>
          <t>N/A</t>
        </is>
      </c>
      <c r="G5" s="77" t="inlineStr">
        <is>
          <t>Complete</t>
        </is>
      </c>
      <c r="H5" s="77" t="inlineStr">
        <is>
          <t>Complete</t>
        </is>
      </c>
      <c r="I5" s="77" t="inlineStr">
        <is>
          <t>Complete</t>
        </is>
      </c>
      <c r="J5" s="77" t="inlineStr">
        <is>
          <t>Complete</t>
        </is>
      </c>
      <c r="K5" s="77" t="inlineStr">
        <is>
          <t>Complete</t>
        </is>
      </c>
      <c r="L5" s="77" t="inlineStr">
        <is>
          <t>Complete</t>
        </is>
      </c>
      <c r="M5" s="77" t="inlineStr">
        <is>
          <t>Complete</t>
        </is>
      </c>
      <c r="N5" s="77" t="inlineStr">
        <is>
          <t>Not Started</t>
        </is>
      </c>
      <c r="O5" s="77" t="inlineStr">
        <is>
          <t>Not Started</t>
        </is>
      </c>
      <c r="P5" s="77" t="inlineStr">
        <is>
          <t>Not Started</t>
        </is>
      </c>
      <c r="Q5" s="77" t="inlineStr">
        <is>
          <t>Not Started</t>
        </is>
      </c>
      <c r="R5" s="77" t="inlineStr">
        <is>
          <t>Not Started</t>
        </is>
      </c>
      <c r="S5" s="77" t="inlineStr">
        <is>
          <t>Not Started</t>
        </is>
      </c>
      <c r="T5" s="77" t="inlineStr">
        <is>
          <t>Not Started</t>
        </is>
      </c>
      <c r="U5" s="77" t="inlineStr">
        <is>
          <t>Not Started</t>
        </is>
      </c>
      <c r="V5" s="77" t="inlineStr">
        <is>
          <t>Not Started</t>
        </is>
      </c>
      <c r="W5" s="77" t="inlineStr">
        <is>
          <t>Not Started</t>
        </is>
      </c>
      <c r="X5" s="77" t="inlineStr">
        <is>
          <t>Not Started</t>
        </is>
      </c>
      <c r="Y5" s="77" t="inlineStr">
        <is>
          <t>Not Started</t>
        </is>
      </c>
      <c r="Z5" s="77" t="inlineStr">
        <is>
          <t>Not Started</t>
        </is>
      </c>
      <c r="AA5" s="77" t="inlineStr">
        <is>
          <t>Not Started</t>
        </is>
      </c>
      <c r="AB5" s="77" t="inlineStr">
        <is>
          <t>Not Started</t>
        </is>
      </c>
      <c r="AC5" s="77" t="inlineStr">
        <is>
          <t>Not Started</t>
        </is>
      </c>
      <c r="AD5" s="77" t="inlineStr">
        <is>
          <t>Not Started</t>
        </is>
      </c>
      <c r="AE5" s="77" t="inlineStr">
        <is>
          <t>Not Started</t>
        </is>
      </c>
      <c r="AF5" s="77" t="inlineStr">
        <is>
          <t>Not Started</t>
        </is>
      </c>
      <c r="AG5" s="77" t="inlineStr">
        <is>
          <t>Not Started</t>
        </is>
      </c>
      <c r="AH5" s="77" t="inlineStr">
        <is>
          <t>Not Started</t>
        </is>
      </c>
      <c r="AI5" s="77" t="inlineStr">
        <is>
          <t>Not Started</t>
        </is>
      </c>
      <c r="AJ5" s="77" t="inlineStr">
        <is>
          <t>Not Started</t>
        </is>
      </c>
      <c r="AK5" s="77" t="inlineStr">
        <is>
          <t>Not Started</t>
        </is>
      </c>
      <c r="AL5" s="77" t="inlineStr">
        <is>
          <t>Not Started</t>
        </is>
      </c>
      <c r="AM5" s="77" t="inlineStr">
        <is>
          <t>Not Started</t>
        </is>
      </c>
      <c r="AN5" s="77" t="inlineStr">
        <is>
          <t>Not Started</t>
        </is>
      </c>
      <c r="AO5" s="77" t="inlineStr">
        <is>
          <t>Not Started</t>
        </is>
      </c>
      <c r="AP5" s="77" t="inlineStr">
        <is>
          <t>Not Started</t>
        </is>
      </c>
      <c r="AQ5" s="77" t="inlineStr">
        <is>
          <t>Not Started</t>
        </is>
      </c>
      <c r="AR5" s="77" t="inlineStr">
        <is>
          <t>Not Started</t>
        </is>
      </c>
      <c r="AS5" s="77" t="inlineStr">
        <is>
          <t>Not Started</t>
        </is>
      </c>
      <c r="AT5" s="77" t="inlineStr">
        <is>
          <t>Not Started</t>
        </is>
      </c>
      <c r="AU5" s="77" t="inlineStr">
        <is>
          <t>Not Started</t>
        </is>
      </c>
      <c r="AV5" s="77" t="inlineStr">
        <is>
          <t>Not Started</t>
        </is>
      </c>
    </row>
    <row r="6" ht="18" customHeight="1">
      <c r="A6" s="75" t="inlineStr">
        <is>
          <t>2026-002</t>
        </is>
      </c>
      <c r="B6" s="76">
        <f>IFERROR(VLOOKUP(A6,'🗄️ Transactions'!$A:$C,3,FALSE),"")</f>
        <v/>
      </c>
      <c r="C6" s="77" t="inlineStr">
        <is>
          <t>Complete</t>
        </is>
      </c>
      <c r="D6" s="77" t="inlineStr">
        <is>
          <t>N/A</t>
        </is>
      </c>
      <c r="E6" s="77" t="inlineStr">
        <is>
          <t>Complete</t>
        </is>
      </c>
      <c r="F6" s="77" t="inlineStr">
        <is>
          <t>N/A</t>
        </is>
      </c>
      <c r="G6" s="77" t="inlineStr">
        <is>
          <t>Complete</t>
        </is>
      </c>
      <c r="H6" s="77" t="inlineStr">
        <is>
          <t>Complete</t>
        </is>
      </c>
      <c r="I6" s="77" t="inlineStr">
        <is>
          <t>Complete</t>
        </is>
      </c>
      <c r="J6" s="77" t="inlineStr">
        <is>
          <t>N/A</t>
        </is>
      </c>
      <c r="K6" s="77" t="inlineStr">
        <is>
          <t>Complete</t>
        </is>
      </c>
      <c r="L6" s="77" t="inlineStr">
        <is>
          <t>N/A</t>
        </is>
      </c>
      <c r="M6" s="77" t="inlineStr">
        <is>
          <t>Complete</t>
        </is>
      </c>
      <c r="N6" s="77" t="inlineStr">
        <is>
          <t>Complete</t>
        </is>
      </c>
      <c r="O6" s="77" t="inlineStr">
        <is>
          <t>Not Started</t>
        </is>
      </c>
      <c r="P6" s="77" t="inlineStr">
        <is>
          <t>N/A</t>
        </is>
      </c>
      <c r="Q6" s="77" t="inlineStr">
        <is>
          <t>Complete</t>
        </is>
      </c>
      <c r="R6" s="77" t="inlineStr">
        <is>
          <t>Complete</t>
        </is>
      </c>
      <c r="S6" s="77" t="inlineStr">
        <is>
          <t>Complete</t>
        </is>
      </c>
      <c r="T6" s="77" t="inlineStr">
        <is>
          <t>Complete</t>
        </is>
      </c>
      <c r="U6" s="77" t="inlineStr">
        <is>
          <t>Not Started</t>
        </is>
      </c>
      <c r="V6" s="77" t="inlineStr">
        <is>
          <t>Not Started</t>
        </is>
      </c>
      <c r="W6" s="77" t="inlineStr">
        <is>
          <t>Not Started</t>
        </is>
      </c>
      <c r="X6" s="77" t="inlineStr">
        <is>
          <t>Not Started</t>
        </is>
      </c>
      <c r="Y6" s="77" t="inlineStr">
        <is>
          <t>Not Started</t>
        </is>
      </c>
      <c r="Z6" s="77" t="inlineStr">
        <is>
          <t>Not Started</t>
        </is>
      </c>
      <c r="AA6" s="77" t="inlineStr">
        <is>
          <t>Not Started</t>
        </is>
      </c>
      <c r="AB6" s="77" t="inlineStr">
        <is>
          <t>Not Started</t>
        </is>
      </c>
      <c r="AC6" s="77" t="inlineStr">
        <is>
          <t>Not Started</t>
        </is>
      </c>
      <c r="AD6" s="77" t="inlineStr">
        <is>
          <t>Not Started</t>
        </is>
      </c>
      <c r="AE6" s="77" t="inlineStr">
        <is>
          <t>Not Started</t>
        </is>
      </c>
      <c r="AF6" s="77" t="inlineStr">
        <is>
          <t>Not Started</t>
        </is>
      </c>
      <c r="AG6" s="77" t="inlineStr">
        <is>
          <t>Not Started</t>
        </is>
      </c>
      <c r="AH6" s="77" t="inlineStr">
        <is>
          <t>Not Started</t>
        </is>
      </c>
      <c r="AI6" s="77" t="inlineStr">
        <is>
          <t>Not Started</t>
        </is>
      </c>
      <c r="AJ6" s="77" t="inlineStr">
        <is>
          <t>Not Started</t>
        </is>
      </c>
      <c r="AK6" s="77" t="inlineStr">
        <is>
          <t>Not Started</t>
        </is>
      </c>
      <c r="AL6" s="77" t="inlineStr">
        <is>
          <t>Not Started</t>
        </is>
      </c>
      <c r="AM6" s="77" t="inlineStr">
        <is>
          <t>Not Started</t>
        </is>
      </c>
      <c r="AN6" s="77" t="inlineStr">
        <is>
          <t>Not Started</t>
        </is>
      </c>
      <c r="AO6" s="77" t="inlineStr">
        <is>
          <t>Not Started</t>
        </is>
      </c>
      <c r="AP6" s="77" t="inlineStr">
        <is>
          <t>Not Started</t>
        </is>
      </c>
      <c r="AQ6" s="77" t="inlineStr">
        <is>
          <t>Not Started</t>
        </is>
      </c>
      <c r="AR6" s="77" t="inlineStr">
        <is>
          <t>Not Started</t>
        </is>
      </c>
      <c r="AS6" s="77" t="inlineStr">
        <is>
          <t>Not Started</t>
        </is>
      </c>
      <c r="AT6" s="77" t="inlineStr">
        <is>
          <t>Not Started</t>
        </is>
      </c>
      <c r="AU6" s="77" t="inlineStr">
        <is>
          <t>Not Started</t>
        </is>
      </c>
      <c r="AV6" s="77" t="inlineStr">
        <is>
          <t>Not Started</t>
        </is>
      </c>
    </row>
    <row r="7" ht="18" customHeight="1">
      <c r="A7" s="75" t="inlineStr">
        <is>
          <t>2026-003</t>
        </is>
      </c>
      <c r="B7" s="76">
        <f>IFERROR(VLOOKUP(A7,'🗄️ Transactions'!$A:$C,3,FALSE),"")</f>
        <v/>
      </c>
      <c r="C7" s="77" t="inlineStr">
        <is>
          <t>Complete</t>
        </is>
      </c>
      <c r="D7" s="77" t="inlineStr">
        <is>
          <t>N/A</t>
        </is>
      </c>
      <c r="E7" s="77" t="inlineStr">
        <is>
          <t>Complete</t>
        </is>
      </c>
      <c r="F7" s="77" t="inlineStr">
        <is>
          <t>Complete</t>
        </is>
      </c>
      <c r="G7" s="77" t="inlineStr">
        <is>
          <t>Complete</t>
        </is>
      </c>
      <c r="H7" s="77" t="inlineStr">
        <is>
          <t>Complete</t>
        </is>
      </c>
      <c r="I7" s="77" t="inlineStr">
        <is>
          <t>Complete</t>
        </is>
      </c>
      <c r="J7" s="77" t="inlineStr">
        <is>
          <t>N/A</t>
        </is>
      </c>
      <c r="K7" s="77" t="inlineStr">
        <is>
          <t>Complete</t>
        </is>
      </c>
      <c r="L7" s="77" t="inlineStr">
        <is>
          <t>Complete</t>
        </is>
      </c>
      <c r="M7" s="77" t="inlineStr">
        <is>
          <t>Complete</t>
        </is>
      </c>
      <c r="N7" s="77" t="inlineStr">
        <is>
          <t>N/A</t>
        </is>
      </c>
      <c r="O7" s="77" t="inlineStr">
        <is>
          <t>Not Started</t>
        </is>
      </c>
      <c r="P7" s="77" t="inlineStr">
        <is>
          <t>N/A</t>
        </is>
      </c>
      <c r="Q7" s="77" t="inlineStr">
        <is>
          <t>Complete</t>
        </is>
      </c>
      <c r="R7" s="77" t="inlineStr">
        <is>
          <t>Complete</t>
        </is>
      </c>
      <c r="S7" s="77" t="inlineStr">
        <is>
          <t>N/A</t>
        </is>
      </c>
      <c r="T7" s="77" t="inlineStr">
        <is>
          <t>Complete</t>
        </is>
      </c>
      <c r="U7" s="77" t="inlineStr">
        <is>
          <t>Not Started</t>
        </is>
      </c>
      <c r="V7" s="77" t="inlineStr">
        <is>
          <t>Not Started</t>
        </is>
      </c>
      <c r="W7" s="77" t="inlineStr">
        <is>
          <t>Not Started</t>
        </is>
      </c>
      <c r="X7" s="77" t="inlineStr">
        <is>
          <t>Not Started</t>
        </is>
      </c>
      <c r="Y7" s="77" t="inlineStr">
        <is>
          <t>Not Started</t>
        </is>
      </c>
      <c r="Z7" s="77" t="inlineStr">
        <is>
          <t>Not Started</t>
        </is>
      </c>
      <c r="AA7" s="77" t="inlineStr">
        <is>
          <t>Not Started</t>
        </is>
      </c>
      <c r="AB7" s="77" t="inlineStr">
        <is>
          <t>Not Started</t>
        </is>
      </c>
      <c r="AC7" s="77" t="inlineStr">
        <is>
          <t>Not Started</t>
        </is>
      </c>
      <c r="AD7" s="77" t="inlineStr">
        <is>
          <t>Not Started</t>
        </is>
      </c>
      <c r="AE7" s="77" t="inlineStr">
        <is>
          <t>Not Started</t>
        </is>
      </c>
      <c r="AF7" s="77" t="inlineStr">
        <is>
          <t>Not Started</t>
        </is>
      </c>
      <c r="AG7" s="77" t="inlineStr">
        <is>
          <t>Not Started</t>
        </is>
      </c>
      <c r="AH7" s="77" t="inlineStr">
        <is>
          <t>Not Started</t>
        </is>
      </c>
      <c r="AI7" s="77" t="inlineStr">
        <is>
          <t>Not Started</t>
        </is>
      </c>
      <c r="AJ7" s="77" t="inlineStr">
        <is>
          <t>Not Started</t>
        </is>
      </c>
      <c r="AK7" s="77" t="inlineStr">
        <is>
          <t>Not Started</t>
        </is>
      </c>
      <c r="AL7" s="77" t="inlineStr">
        <is>
          <t>Not Started</t>
        </is>
      </c>
      <c r="AM7" s="77" t="inlineStr">
        <is>
          <t>Not Started</t>
        </is>
      </c>
      <c r="AN7" s="77" t="inlineStr">
        <is>
          <t>Not Started</t>
        </is>
      </c>
      <c r="AO7" s="77" t="inlineStr">
        <is>
          <t>Not Started</t>
        </is>
      </c>
      <c r="AP7" s="77" t="inlineStr">
        <is>
          <t>Not Started</t>
        </is>
      </c>
      <c r="AQ7" s="77" t="inlineStr">
        <is>
          <t>Not Started</t>
        </is>
      </c>
      <c r="AR7" s="77" t="inlineStr">
        <is>
          <t>Not Started</t>
        </is>
      </c>
      <c r="AS7" s="77" t="inlineStr">
        <is>
          <t>Not Started</t>
        </is>
      </c>
      <c r="AT7" s="77" t="inlineStr">
        <is>
          <t>Not Started</t>
        </is>
      </c>
      <c r="AU7" s="77" t="inlineStr">
        <is>
          <t>Not Started</t>
        </is>
      </c>
      <c r="AV7" s="77" t="inlineStr">
        <is>
          <t>Not Started</t>
        </is>
      </c>
    </row>
    <row r="8" ht="18" customHeight="1">
      <c r="A8" s="75" t="inlineStr">
        <is>
          <t>2026-004</t>
        </is>
      </c>
      <c r="B8" s="76">
        <f>IFERROR(VLOOKUP(A8,'🗄️ Transactions'!$A:$C,3,FALSE),"")</f>
        <v/>
      </c>
      <c r="C8" s="77" t="inlineStr">
        <is>
          <t>Not Started</t>
        </is>
      </c>
      <c r="D8" s="77" t="inlineStr">
        <is>
          <t>Not Started</t>
        </is>
      </c>
      <c r="E8" s="77" t="inlineStr">
        <is>
          <t>Not Started</t>
        </is>
      </c>
      <c r="F8" s="77" t="inlineStr">
        <is>
          <t>Not Started</t>
        </is>
      </c>
      <c r="G8" s="77" t="inlineStr">
        <is>
          <t>Not Started</t>
        </is>
      </c>
      <c r="H8" s="77" t="inlineStr">
        <is>
          <t>Not Started</t>
        </is>
      </c>
      <c r="I8" s="77" t="inlineStr">
        <is>
          <t>Not Started</t>
        </is>
      </c>
      <c r="J8" s="77" t="inlineStr">
        <is>
          <t>Not Started</t>
        </is>
      </c>
      <c r="K8" s="77" t="inlineStr">
        <is>
          <t>Not Started</t>
        </is>
      </c>
      <c r="L8" s="77" t="inlineStr">
        <is>
          <t>Not Started</t>
        </is>
      </c>
      <c r="M8" s="77" t="inlineStr">
        <is>
          <t>Not Started</t>
        </is>
      </c>
      <c r="N8" s="77" t="inlineStr">
        <is>
          <t>Not Started</t>
        </is>
      </c>
      <c r="O8" s="77" t="inlineStr">
        <is>
          <t>Not Started</t>
        </is>
      </c>
      <c r="P8" s="77" t="inlineStr">
        <is>
          <t>Not Started</t>
        </is>
      </c>
      <c r="Q8" s="77" t="inlineStr">
        <is>
          <t>Not Started</t>
        </is>
      </c>
      <c r="R8" s="77" t="inlineStr">
        <is>
          <t>Not Started</t>
        </is>
      </c>
      <c r="S8" s="77" t="inlineStr">
        <is>
          <t>Not Started</t>
        </is>
      </c>
      <c r="T8" s="77" t="inlineStr">
        <is>
          <t>Not Started</t>
        </is>
      </c>
      <c r="U8" s="77" t="inlineStr">
        <is>
          <t>Not Started</t>
        </is>
      </c>
      <c r="V8" s="77" t="inlineStr">
        <is>
          <t>Not Started</t>
        </is>
      </c>
      <c r="W8" s="77" t="inlineStr">
        <is>
          <t>Not Started</t>
        </is>
      </c>
      <c r="X8" s="77" t="inlineStr">
        <is>
          <t>Not Started</t>
        </is>
      </c>
      <c r="Y8" s="77" t="inlineStr">
        <is>
          <t>Not Started</t>
        </is>
      </c>
      <c r="Z8" s="77" t="inlineStr">
        <is>
          <t>Not Started</t>
        </is>
      </c>
      <c r="AA8" s="77" t="inlineStr">
        <is>
          <t>Not Started</t>
        </is>
      </c>
      <c r="AB8" s="77" t="inlineStr">
        <is>
          <t>Not Started</t>
        </is>
      </c>
      <c r="AC8" s="77" t="inlineStr">
        <is>
          <t>Not Started</t>
        </is>
      </c>
      <c r="AD8" s="77" t="inlineStr">
        <is>
          <t>Not Started</t>
        </is>
      </c>
      <c r="AE8" s="77" t="inlineStr">
        <is>
          <t>Not Started</t>
        </is>
      </c>
      <c r="AF8" s="77" t="inlineStr">
        <is>
          <t>Not Started</t>
        </is>
      </c>
      <c r="AG8" s="77" t="inlineStr">
        <is>
          <t>Not Started</t>
        </is>
      </c>
      <c r="AH8" s="77" t="inlineStr">
        <is>
          <t>Not Started</t>
        </is>
      </c>
      <c r="AI8" s="77" t="inlineStr">
        <is>
          <t>Not Started</t>
        </is>
      </c>
      <c r="AJ8" s="77" t="inlineStr">
        <is>
          <t>Not Started</t>
        </is>
      </c>
      <c r="AK8" s="77" t="inlineStr">
        <is>
          <t>Not Started</t>
        </is>
      </c>
      <c r="AL8" s="77" t="inlineStr">
        <is>
          <t>Not Started</t>
        </is>
      </c>
      <c r="AM8" s="77" t="inlineStr">
        <is>
          <t>Not Started</t>
        </is>
      </c>
      <c r="AN8" s="77" t="inlineStr">
        <is>
          <t>Not Started</t>
        </is>
      </c>
      <c r="AO8" s="77" t="inlineStr">
        <is>
          <t>Not Started</t>
        </is>
      </c>
      <c r="AP8" s="77" t="inlineStr">
        <is>
          <t>Not Started</t>
        </is>
      </c>
      <c r="AQ8" s="77" t="inlineStr">
        <is>
          <t>Not Started</t>
        </is>
      </c>
      <c r="AR8" s="77" t="inlineStr">
        <is>
          <t>Not Started</t>
        </is>
      </c>
      <c r="AS8" s="77" t="inlineStr">
        <is>
          <t>Not Started</t>
        </is>
      </c>
      <c r="AT8" s="77" t="inlineStr">
        <is>
          <t>Not Started</t>
        </is>
      </c>
      <c r="AU8" s="77" t="inlineStr">
        <is>
          <t>Not Started</t>
        </is>
      </c>
      <c r="AV8" s="77" t="inlineStr">
        <is>
          <t>Not Started</t>
        </is>
      </c>
    </row>
    <row r="9" ht="18" customHeight="1">
      <c r="A9" s="75" t="inlineStr">
        <is>
          <t>2026-005</t>
        </is>
      </c>
      <c r="B9" s="76">
        <f>IFERROR(VLOOKUP(A9,'🗄️ Transactions'!$A:$C,3,FALSE),"")</f>
        <v/>
      </c>
      <c r="C9" s="77" t="inlineStr">
        <is>
          <t>Not Started</t>
        </is>
      </c>
      <c r="D9" s="77" t="inlineStr">
        <is>
          <t>Not Started</t>
        </is>
      </c>
      <c r="E9" s="77" t="inlineStr">
        <is>
          <t>Not Started</t>
        </is>
      </c>
      <c r="F9" s="77" t="inlineStr">
        <is>
          <t>Not Started</t>
        </is>
      </c>
      <c r="G9" s="77" t="inlineStr">
        <is>
          <t>Not Started</t>
        </is>
      </c>
      <c r="H9" s="77" t="inlineStr">
        <is>
          <t>Not Started</t>
        </is>
      </c>
      <c r="I9" s="77" t="inlineStr">
        <is>
          <t>Not Started</t>
        </is>
      </c>
      <c r="J9" s="77" t="inlineStr">
        <is>
          <t>Not Started</t>
        </is>
      </c>
      <c r="K9" s="77" t="inlineStr">
        <is>
          <t>Not Started</t>
        </is>
      </c>
      <c r="L9" s="77" t="inlineStr">
        <is>
          <t>Not Started</t>
        </is>
      </c>
      <c r="M9" s="77" t="inlineStr">
        <is>
          <t>Not Started</t>
        </is>
      </c>
      <c r="N9" s="77" t="inlineStr">
        <is>
          <t>Not Started</t>
        </is>
      </c>
      <c r="O9" s="77" t="inlineStr">
        <is>
          <t>Not Started</t>
        </is>
      </c>
      <c r="P9" s="77" t="inlineStr">
        <is>
          <t>Not Started</t>
        </is>
      </c>
      <c r="Q9" s="77" t="inlineStr">
        <is>
          <t>Not Started</t>
        </is>
      </c>
      <c r="R9" s="77" t="inlineStr">
        <is>
          <t>Not Started</t>
        </is>
      </c>
      <c r="S9" s="77" t="inlineStr">
        <is>
          <t>Not Started</t>
        </is>
      </c>
      <c r="T9" s="77" t="inlineStr">
        <is>
          <t>Not Started</t>
        </is>
      </c>
      <c r="U9" s="77" t="inlineStr">
        <is>
          <t>Not Started</t>
        </is>
      </c>
      <c r="V9" s="77" t="inlineStr">
        <is>
          <t>Not Started</t>
        </is>
      </c>
      <c r="W9" s="77" t="inlineStr">
        <is>
          <t>Not Started</t>
        </is>
      </c>
      <c r="X9" s="77" t="inlineStr">
        <is>
          <t>Not Started</t>
        </is>
      </c>
      <c r="Y9" s="77" t="inlineStr">
        <is>
          <t>Not Started</t>
        </is>
      </c>
      <c r="Z9" s="77" t="inlineStr">
        <is>
          <t>Not Started</t>
        </is>
      </c>
      <c r="AA9" s="77" t="inlineStr">
        <is>
          <t>Not Started</t>
        </is>
      </c>
      <c r="AB9" s="77" t="inlineStr">
        <is>
          <t>Not Started</t>
        </is>
      </c>
      <c r="AC9" s="77" t="inlineStr">
        <is>
          <t>Not Started</t>
        </is>
      </c>
      <c r="AD9" s="77" t="inlineStr">
        <is>
          <t>Not Started</t>
        </is>
      </c>
      <c r="AE9" s="77" t="inlineStr">
        <is>
          <t>Not Started</t>
        </is>
      </c>
      <c r="AF9" s="77" t="inlineStr">
        <is>
          <t>Not Started</t>
        </is>
      </c>
      <c r="AG9" s="77" t="inlineStr">
        <is>
          <t>Not Started</t>
        </is>
      </c>
      <c r="AH9" s="77" t="inlineStr">
        <is>
          <t>Not Started</t>
        </is>
      </c>
      <c r="AI9" s="77" t="inlineStr">
        <is>
          <t>Not Started</t>
        </is>
      </c>
      <c r="AJ9" s="77" t="inlineStr">
        <is>
          <t>Not Started</t>
        </is>
      </c>
      <c r="AK9" s="77" t="inlineStr">
        <is>
          <t>Not Started</t>
        </is>
      </c>
      <c r="AL9" s="77" t="inlineStr">
        <is>
          <t>Not Started</t>
        </is>
      </c>
      <c r="AM9" s="77" t="inlineStr">
        <is>
          <t>Not Started</t>
        </is>
      </c>
      <c r="AN9" s="77" t="inlineStr">
        <is>
          <t>Not Started</t>
        </is>
      </c>
      <c r="AO9" s="77" t="inlineStr">
        <is>
          <t>Not Started</t>
        </is>
      </c>
      <c r="AP9" s="77" t="inlineStr">
        <is>
          <t>Not Started</t>
        </is>
      </c>
      <c r="AQ9" s="77" t="inlineStr">
        <is>
          <t>Not Started</t>
        </is>
      </c>
      <c r="AR9" s="77" t="inlineStr">
        <is>
          <t>Not Started</t>
        </is>
      </c>
      <c r="AS9" s="77" t="inlineStr">
        <is>
          <t>Not Started</t>
        </is>
      </c>
      <c r="AT9" s="77" t="inlineStr">
        <is>
          <t>Not Started</t>
        </is>
      </c>
      <c r="AU9" s="77" t="inlineStr">
        <is>
          <t>Not Started</t>
        </is>
      </c>
      <c r="AV9" s="77" t="inlineStr">
        <is>
          <t>Not Started</t>
        </is>
      </c>
    </row>
    <row r="10" ht="18" customHeight="1">
      <c r="A10" s="75" t="inlineStr">
        <is>
          <t>2026-006</t>
        </is>
      </c>
      <c r="B10" s="76">
        <f>IFERROR(VLOOKUP(A10,'🗄️ Transactions'!$A:$C,3,FALSE),"")</f>
        <v/>
      </c>
      <c r="C10" s="77" t="inlineStr">
        <is>
          <t>Not Started</t>
        </is>
      </c>
      <c r="D10" s="77" t="inlineStr">
        <is>
          <t>Not Started</t>
        </is>
      </c>
      <c r="E10" s="77" t="inlineStr">
        <is>
          <t>Not Started</t>
        </is>
      </c>
      <c r="F10" s="77" t="inlineStr">
        <is>
          <t>Not Started</t>
        </is>
      </c>
      <c r="G10" s="77" t="inlineStr">
        <is>
          <t>Not Started</t>
        </is>
      </c>
      <c r="H10" s="77" t="inlineStr">
        <is>
          <t>Not Started</t>
        </is>
      </c>
      <c r="I10" s="77" t="inlineStr">
        <is>
          <t>Not Started</t>
        </is>
      </c>
      <c r="J10" s="77" t="inlineStr">
        <is>
          <t>Not Started</t>
        </is>
      </c>
      <c r="K10" s="77" t="inlineStr">
        <is>
          <t>Not Started</t>
        </is>
      </c>
      <c r="L10" s="77" t="inlineStr">
        <is>
          <t>Not Started</t>
        </is>
      </c>
      <c r="M10" s="77" t="inlineStr">
        <is>
          <t>Not Started</t>
        </is>
      </c>
      <c r="N10" s="77" t="inlineStr">
        <is>
          <t>Not Started</t>
        </is>
      </c>
      <c r="O10" s="77" t="inlineStr">
        <is>
          <t>Not Started</t>
        </is>
      </c>
      <c r="P10" s="77" t="inlineStr">
        <is>
          <t>Not Started</t>
        </is>
      </c>
      <c r="Q10" s="77" t="inlineStr">
        <is>
          <t>Not Started</t>
        </is>
      </c>
      <c r="R10" s="77" t="inlineStr">
        <is>
          <t>Not Started</t>
        </is>
      </c>
      <c r="S10" s="77" t="inlineStr">
        <is>
          <t>Not Started</t>
        </is>
      </c>
      <c r="T10" s="77" t="inlineStr">
        <is>
          <t>Not Started</t>
        </is>
      </c>
      <c r="U10" s="77" t="inlineStr">
        <is>
          <t>Not Started</t>
        </is>
      </c>
      <c r="V10" s="77" t="inlineStr">
        <is>
          <t>Not Started</t>
        </is>
      </c>
      <c r="W10" s="77" t="inlineStr">
        <is>
          <t>Not Started</t>
        </is>
      </c>
      <c r="X10" s="77" t="inlineStr">
        <is>
          <t>Not Started</t>
        </is>
      </c>
      <c r="Y10" s="77" t="inlineStr">
        <is>
          <t>Not Started</t>
        </is>
      </c>
      <c r="Z10" s="77" t="inlineStr">
        <is>
          <t>Not Started</t>
        </is>
      </c>
      <c r="AA10" s="77" t="inlineStr">
        <is>
          <t>Not Started</t>
        </is>
      </c>
      <c r="AB10" s="77" t="inlineStr">
        <is>
          <t>Not Started</t>
        </is>
      </c>
      <c r="AC10" s="77" t="inlineStr">
        <is>
          <t>Not Started</t>
        </is>
      </c>
      <c r="AD10" s="77" t="inlineStr">
        <is>
          <t>Not Started</t>
        </is>
      </c>
      <c r="AE10" s="77" t="inlineStr">
        <is>
          <t>Not Started</t>
        </is>
      </c>
      <c r="AF10" s="77" t="inlineStr">
        <is>
          <t>Not Started</t>
        </is>
      </c>
      <c r="AG10" s="77" t="inlineStr">
        <is>
          <t>Not Started</t>
        </is>
      </c>
      <c r="AH10" s="77" t="inlineStr">
        <is>
          <t>Not Started</t>
        </is>
      </c>
      <c r="AI10" s="77" t="inlineStr">
        <is>
          <t>Not Started</t>
        </is>
      </c>
      <c r="AJ10" s="77" t="inlineStr">
        <is>
          <t>Not Started</t>
        </is>
      </c>
      <c r="AK10" s="77" t="inlineStr">
        <is>
          <t>Not Started</t>
        </is>
      </c>
      <c r="AL10" s="77" t="inlineStr">
        <is>
          <t>Not Started</t>
        </is>
      </c>
      <c r="AM10" s="77" t="inlineStr">
        <is>
          <t>Not Started</t>
        </is>
      </c>
      <c r="AN10" s="77" t="inlineStr">
        <is>
          <t>Not Started</t>
        </is>
      </c>
      <c r="AO10" s="77" t="inlineStr">
        <is>
          <t>Not Started</t>
        </is>
      </c>
      <c r="AP10" s="77" t="inlineStr">
        <is>
          <t>Not Started</t>
        </is>
      </c>
      <c r="AQ10" s="77" t="inlineStr">
        <is>
          <t>Not Started</t>
        </is>
      </c>
      <c r="AR10" s="77" t="inlineStr">
        <is>
          <t>Not Started</t>
        </is>
      </c>
      <c r="AS10" s="77" t="inlineStr">
        <is>
          <t>Not Started</t>
        </is>
      </c>
      <c r="AT10" s="77" t="inlineStr">
        <is>
          <t>Not Started</t>
        </is>
      </c>
      <c r="AU10" s="77" t="inlineStr">
        <is>
          <t>Not Started</t>
        </is>
      </c>
      <c r="AV10" s="77" t="inlineStr">
        <is>
          <t>Not Started</t>
        </is>
      </c>
    </row>
    <row r="11" ht="18" customHeight="1">
      <c r="A11" s="75" t="inlineStr">
        <is>
          <t>2026-007</t>
        </is>
      </c>
      <c r="B11" s="76">
        <f>IFERROR(VLOOKUP(A11,'🗄️ Transactions'!$A:$C,3,FALSE),"")</f>
        <v/>
      </c>
      <c r="C11" s="77" t="inlineStr">
        <is>
          <t>Not Started</t>
        </is>
      </c>
      <c r="D11" s="77" t="inlineStr">
        <is>
          <t>Not Started</t>
        </is>
      </c>
      <c r="E11" s="77" t="inlineStr">
        <is>
          <t>Not Started</t>
        </is>
      </c>
      <c r="F11" s="77" t="inlineStr">
        <is>
          <t>Not Started</t>
        </is>
      </c>
      <c r="G11" s="77" t="inlineStr">
        <is>
          <t>Not Started</t>
        </is>
      </c>
      <c r="H11" s="77" t="inlineStr">
        <is>
          <t>Not Started</t>
        </is>
      </c>
      <c r="I11" s="77" t="inlineStr">
        <is>
          <t>Not Started</t>
        </is>
      </c>
      <c r="J11" s="77" t="inlineStr">
        <is>
          <t>Not Started</t>
        </is>
      </c>
      <c r="K11" s="77" t="inlineStr">
        <is>
          <t>Not Started</t>
        </is>
      </c>
      <c r="L11" s="77" t="inlineStr">
        <is>
          <t>Not Started</t>
        </is>
      </c>
      <c r="M11" s="77" t="inlineStr">
        <is>
          <t>Not Started</t>
        </is>
      </c>
      <c r="N11" s="77" t="inlineStr">
        <is>
          <t>Not Started</t>
        </is>
      </c>
      <c r="O11" s="77" t="inlineStr">
        <is>
          <t>Not Started</t>
        </is>
      </c>
      <c r="P11" s="77" t="inlineStr">
        <is>
          <t>Not Started</t>
        </is>
      </c>
      <c r="Q11" s="77" t="inlineStr">
        <is>
          <t>Not Started</t>
        </is>
      </c>
      <c r="R11" s="77" t="inlineStr">
        <is>
          <t>Not Started</t>
        </is>
      </c>
      <c r="S11" s="77" t="inlineStr">
        <is>
          <t>Not Started</t>
        </is>
      </c>
      <c r="T11" s="77" t="inlineStr">
        <is>
          <t>Not Started</t>
        </is>
      </c>
      <c r="U11" s="77" t="inlineStr">
        <is>
          <t>Not Started</t>
        </is>
      </c>
      <c r="V11" s="77" t="inlineStr">
        <is>
          <t>Not Started</t>
        </is>
      </c>
      <c r="W11" s="77" t="inlineStr">
        <is>
          <t>Not Started</t>
        </is>
      </c>
      <c r="X11" s="77" t="inlineStr">
        <is>
          <t>Not Started</t>
        </is>
      </c>
      <c r="Y11" s="77" t="inlineStr">
        <is>
          <t>Not Started</t>
        </is>
      </c>
      <c r="Z11" s="77" t="inlineStr">
        <is>
          <t>Not Started</t>
        </is>
      </c>
      <c r="AA11" s="77" t="inlineStr">
        <is>
          <t>Not Started</t>
        </is>
      </c>
      <c r="AB11" s="77" t="inlineStr">
        <is>
          <t>Not Started</t>
        </is>
      </c>
      <c r="AC11" s="77" t="inlineStr">
        <is>
          <t>Not Started</t>
        </is>
      </c>
      <c r="AD11" s="77" t="inlineStr">
        <is>
          <t>Not Started</t>
        </is>
      </c>
      <c r="AE11" s="77" t="inlineStr">
        <is>
          <t>Not Started</t>
        </is>
      </c>
      <c r="AF11" s="77" t="inlineStr">
        <is>
          <t>Not Started</t>
        </is>
      </c>
      <c r="AG11" s="77" t="inlineStr">
        <is>
          <t>Not Started</t>
        </is>
      </c>
      <c r="AH11" s="77" t="inlineStr">
        <is>
          <t>Not Started</t>
        </is>
      </c>
      <c r="AI11" s="77" t="inlineStr">
        <is>
          <t>Not Started</t>
        </is>
      </c>
      <c r="AJ11" s="77" t="inlineStr">
        <is>
          <t>Not Started</t>
        </is>
      </c>
      <c r="AK11" s="77" t="inlineStr">
        <is>
          <t>Not Started</t>
        </is>
      </c>
      <c r="AL11" s="77" t="inlineStr">
        <is>
          <t>Not Started</t>
        </is>
      </c>
      <c r="AM11" s="77" t="inlineStr">
        <is>
          <t>Not Started</t>
        </is>
      </c>
      <c r="AN11" s="77" t="inlineStr">
        <is>
          <t>Not Started</t>
        </is>
      </c>
      <c r="AO11" s="77" t="inlineStr">
        <is>
          <t>Not Started</t>
        </is>
      </c>
      <c r="AP11" s="77" t="inlineStr">
        <is>
          <t>Not Started</t>
        </is>
      </c>
      <c r="AQ11" s="77" t="inlineStr">
        <is>
          <t>Not Started</t>
        </is>
      </c>
      <c r="AR11" s="77" t="inlineStr">
        <is>
          <t>Not Started</t>
        </is>
      </c>
      <c r="AS11" s="77" t="inlineStr">
        <is>
          <t>Not Started</t>
        </is>
      </c>
      <c r="AT11" s="77" t="inlineStr">
        <is>
          <t>Not Started</t>
        </is>
      </c>
      <c r="AU11" s="77" t="inlineStr">
        <is>
          <t>Not Started</t>
        </is>
      </c>
      <c r="AV11" s="77" t="inlineStr">
        <is>
          <t>Not Started</t>
        </is>
      </c>
    </row>
    <row r="12" ht="18" customHeight="1">
      <c r="A12" s="75" t="inlineStr">
        <is>
          <t>2026-008</t>
        </is>
      </c>
      <c r="B12" s="76">
        <f>IFERROR(VLOOKUP(A12,'🗄️ Transactions'!$A:$C,3,FALSE),"")</f>
        <v/>
      </c>
      <c r="C12" s="77" t="inlineStr">
        <is>
          <t>Not Started</t>
        </is>
      </c>
      <c r="D12" s="77" t="inlineStr">
        <is>
          <t>Not Started</t>
        </is>
      </c>
      <c r="E12" s="77" t="inlineStr">
        <is>
          <t>Not Started</t>
        </is>
      </c>
      <c r="F12" s="77" t="inlineStr">
        <is>
          <t>Not Started</t>
        </is>
      </c>
      <c r="G12" s="77" t="inlineStr">
        <is>
          <t>Not Started</t>
        </is>
      </c>
      <c r="H12" s="77" t="inlineStr">
        <is>
          <t>Not Started</t>
        </is>
      </c>
      <c r="I12" s="77" t="inlineStr">
        <is>
          <t>Not Started</t>
        </is>
      </c>
      <c r="J12" s="77" t="inlineStr">
        <is>
          <t>Not Started</t>
        </is>
      </c>
      <c r="K12" s="77" t="inlineStr">
        <is>
          <t>Not Started</t>
        </is>
      </c>
      <c r="L12" s="77" t="inlineStr">
        <is>
          <t>Not Started</t>
        </is>
      </c>
      <c r="M12" s="77" t="inlineStr">
        <is>
          <t>Not Started</t>
        </is>
      </c>
      <c r="N12" s="77" t="inlineStr">
        <is>
          <t>Not Started</t>
        </is>
      </c>
      <c r="O12" s="77" t="inlineStr">
        <is>
          <t>Not Started</t>
        </is>
      </c>
      <c r="P12" s="77" t="inlineStr">
        <is>
          <t>Not Started</t>
        </is>
      </c>
      <c r="Q12" s="77" t="inlineStr">
        <is>
          <t>Not Started</t>
        </is>
      </c>
      <c r="R12" s="77" t="inlineStr">
        <is>
          <t>Not Started</t>
        </is>
      </c>
      <c r="S12" s="77" t="inlineStr">
        <is>
          <t>Not Started</t>
        </is>
      </c>
      <c r="T12" s="77" t="inlineStr">
        <is>
          <t>Not Started</t>
        </is>
      </c>
      <c r="U12" s="77" t="inlineStr">
        <is>
          <t>Not Started</t>
        </is>
      </c>
      <c r="V12" s="77" t="inlineStr">
        <is>
          <t>Not Started</t>
        </is>
      </c>
      <c r="W12" s="77" t="inlineStr">
        <is>
          <t>Not Started</t>
        </is>
      </c>
      <c r="X12" s="77" t="inlineStr">
        <is>
          <t>Not Started</t>
        </is>
      </c>
      <c r="Y12" s="77" t="inlineStr">
        <is>
          <t>Not Started</t>
        </is>
      </c>
      <c r="Z12" s="77" t="inlineStr">
        <is>
          <t>Not Started</t>
        </is>
      </c>
      <c r="AA12" s="77" t="inlineStr">
        <is>
          <t>Not Started</t>
        </is>
      </c>
      <c r="AB12" s="77" t="inlineStr">
        <is>
          <t>Not Started</t>
        </is>
      </c>
      <c r="AC12" s="77" t="inlineStr">
        <is>
          <t>Not Started</t>
        </is>
      </c>
      <c r="AD12" s="77" t="inlineStr">
        <is>
          <t>Not Started</t>
        </is>
      </c>
      <c r="AE12" s="77" t="inlineStr">
        <is>
          <t>Not Started</t>
        </is>
      </c>
      <c r="AF12" s="77" t="inlineStr">
        <is>
          <t>Not Started</t>
        </is>
      </c>
      <c r="AG12" s="77" t="inlineStr">
        <is>
          <t>Not Started</t>
        </is>
      </c>
      <c r="AH12" s="77" t="inlineStr">
        <is>
          <t>Not Started</t>
        </is>
      </c>
      <c r="AI12" s="77" t="inlineStr">
        <is>
          <t>Not Started</t>
        </is>
      </c>
      <c r="AJ12" s="77" t="inlineStr">
        <is>
          <t>Not Started</t>
        </is>
      </c>
      <c r="AK12" s="77" t="inlineStr">
        <is>
          <t>Not Started</t>
        </is>
      </c>
      <c r="AL12" s="77" t="inlineStr">
        <is>
          <t>Not Started</t>
        </is>
      </c>
      <c r="AM12" s="77" t="inlineStr">
        <is>
          <t>Not Started</t>
        </is>
      </c>
      <c r="AN12" s="77" t="inlineStr">
        <is>
          <t>Not Started</t>
        </is>
      </c>
      <c r="AO12" s="77" t="inlineStr">
        <is>
          <t>Not Started</t>
        </is>
      </c>
      <c r="AP12" s="77" t="inlineStr">
        <is>
          <t>Not Started</t>
        </is>
      </c>
      <c r="AQ12" s="77" t="inlineStr">
        <is>
          <t>Not Started</t>
        </is>
      </c>
      <c r="AR12" s="77" t="inlineStr">
        <is>
          <t>Not Started</t>
        </is>
      </c>
      <c r="AS12" s="77" t="inlineStr">
        <is>
          <t>Not Started</t>
        </is>
      </c>
      <c r="AT12" s="77" t="inlineStr">
        <is>
          <t>Not Started</t>
        </is>
      </c>
      <c r="AU12" s="77" t="inlineStr">
        <is>
          <t>Not Started</t>
        </is>
      </c>
      <c r="AV12" s="77" t="inlineStr">
        <is>
          <t>Not Started</t>
        </is>
      </c>
    </row>
    <row r="13" ht="18" customHeight="1">
      <c r="A13" s="75" t="inlineStr">
        <is>
          <t>2026-009</t>
        </is>
      </c>
      <c r="B13" s="76">
        <f>IFERROR(VLOOKUP(A13,'🗄️ Transactions'!$A:$C,3,FALSE),"")</f>
        <v/>
      </c>
      <c r="C13" s="77" t="inlineStr">
        <is>
          <t>Not Started</t>
        </is>
      </c>
      <c r="D13" s="77" t="inlineStr">
        <is>
          <t>Not Started</t>
        </is>
      </c>
      <c r="E13" s="77" t="inlineStr">
        <is>
          <t>Not Started</t>
        </is>
      </c>
      <c r="F13" s="77" t="inlineStr">
        <is>
          <t>Not Started</t>
        </is>
      </c>
      <c r="G13" s="77" t="inlineStr">
        <is>
          <t>Not Started</t>
        </is>
      </c>
      <c r="H13" s="77" t="inlineStr">
        <is>
          <t>Not Started</t>
        </is>
      </c>
      <c r="I13" s="77" t="inlineStr">
        <is>
          <t>Not Started</t>
        </is>
      </c>
      <c r="J13" s="77" t="inlineStr">
        <is>
          <t>Not Started</t>
        </is>
      </c>
      <c r="K13" s="77" t="inlineStr">
        <is>
          <t>Not Started</t>
        </is>
      </c>
      <c r="L13" s="77" t="inlineStr">
        <is>
          <t>Not Started</t>
        </is>
      </c>
      <c r="M13" s="77" t="inlineStr">
        <is>
          <t>Not Started</t>
        </is>
      </c>
      <c r="N13" s="77" t="inlineStr">
        <is>
          <t>Not Started</t>
        </is>
      </c>
      <c r="O13" s="77" t="inlineStr">
        <is>
          <t>Not Started</t>
        </is>
      </c>
      <c r="P13" s="77" t="inlineStr">
        <is>
          <t>Not Started</t>
        </is>
      </c>
      <c r="Q13" s="77" t="inlineStr">
        <is>
          <t>Not Started</t>
        </is>
      </c>
      <c r="R13" s="77" t="inlineStr">
        <is>
          <t>Not Started</t>
        </is>
      </c>
      <c r="S13" s="77" t="inlineStr">
        <is>
          <t>Not Started</t>
        </is>
      </c>
      <c r="T13" s="77" t="inlineStr">
        <is>
          <t>Not Started</t>
        </is>
      </c>
      <c r="U13" s="77" t="inlineStr">
        <is>
          <t>Not Started</t>
        </is>
      </c>
      <c r="V13" s="77" t="inlineStr">
        <is>
          <t>Not Started</t>
        </is>
      </c>
      <c r="W13" s="77" t="inlineStr">
        <is>
          <t>Not Started</t>
        </is>
      </c>
      <c r="X13" s="77" t="inlineStr">
        <is>
          <t>Not Started</t>
        </is>
      </c>
      <c r="Y13" s="77" t="inlineStr">
        <is>
          <t>Not Started</t>
        </is>
      </c>
      <c r="Z13" s="77" t="inlineStr">
        <is>
          <t>Not Started</t>
        </is>
      </c>
      <c r="AA13" s="77" t="inlineStr">
        <is>
          <t>Not Started</t>
        </is>
      </c>
      <c r="AB13" s="77" t="inlineStr">
        <is>
          <t>Not Started</t>
        </is>
      </c>
      <c r="AC13" s="77" t="inlineStr">
        <is>
          <t>Not Started</t>
        </is>
      </c>
      <c r="AD13" s="77" t="inlineStr">
        <is>
          <t>Not Started</t>
        </is>
      </c>
      <c r="AE13" s="77" t="inlineStr">
        <is>
          <t>Not Started</t>
        </is>
      </c>
      <c r="AF13" s="77" t="inlineStr">
        <is>
          <t>Not Started</t>
        </is>
      </c>
      <c r="AG13" s="77" t="inlineStr">
        <is>
          <t>Not Started</t>
        </is>
      </c>
      <c r="AH13" s="77" t="inlineStr">
        <is>
          <t>Not Started</t>
        </is>
      </c>
      <c r="AI13" s="77" t="inlineStr">
        <is>
          <t>Not Started</t>
        </is>
      </c>
      <c r="AJ13" s="77" t="inlineStr">
        <is>
          <t>Not Started</t>
        </is>
      </c>
      <c r="AK13" s="77" t="inlineStr">
        <is>
          <t>Not Started</t>
        </is>
      </c>
      <c r="AL13" s="77" t="inlineStr">
        <is>
          <t>Not Started</t>
        </is>
      </c>
      <c r="AM13" s="77" t="inlineStr">
        <is>
          <t>Not Started</t>
        </is>
      </c>
      <c r="AN13" s="77" t="inlineStr">
        <is>
          <t>Not Started</t>
        </is>
      </c>
      <c r="AO13" s="77" t="inlineStr">
        <is>
          <t>Not Started</t>
        </is>
      </c>
      <c r="AP13" s="77" t="inlineStr">
        <is>
          <t>Not Started</t>
        </is>
      </c>
      <c r="AQ13" s="77" t="inlineStr">
        <is>
          <t>Not Started</t>
        </is>
      </c>
      <c r="AR13" s="77" t="inlineStr">
        <is>
          <t>Not Started</t>
        </is>
      </c>
      <c r="AS13" s="77" t="inlineStr">
        <is>
          <t>Not Started</t>
        </is>
      </c>
      <c r="AT13" s="77" t="inlineStr">
        <is>
          <t>Not Started</t>
        </is>
      </c>
      <c r="AU13" s="77" t="inlineStr">
        <is>
          <t>Not Started</t>
        </is>
      </c>
      <c r="AV13" s="77" t="inlineStr">
        <is>
          <t>Not Started</t>
        </is>
      </c>
    </row>
    <row r="14" ht="18" customHeight="1">
      <c r="A14" s="75" t="inlineStr">
        <is>
          <t>2026-010</t>
        </is>
      </c>
      <c r="B14" s="76">
        <f>IFERROR(VLOOKUP(A14,'🗄️ Transactions'!$A:$C,3,FALSE),"")</f>
        <v/>
      </c>
      <c r="C14" s="77" t="inlineStr">
        <is>
          <t>Not Started</t>
        </is>
      </c>
      <c r="D14" s="77" t="inlineStr">
        <is>
          <t>Not Started</t>
        </is>
      </c>
      <c r="E14" s="77" t="inlineStr">
        <is>
          <t>Not Started</t>
        </is>
      </c>
      <c r="F14" s="77" t="inlineStr">
        <is>
          <t>Not Started</t>
        </is>
      </c>
      <c r="G14" s="77" t="inlineStr">
        <is>
          <t>Not Started</t>
        </is>
      </c>
      <c r="H14" s="77" t="inlineStr">
        <is>
          <t>Not Started</t>
        </is>
      </c>
      <c r="I14" s="77" t="inlineStr">
        <is>
          <t>Not Started</t>
        </is>
      </c>
      <c r="J14" s="77" t="inlineStr">
        <is>
          <t>Not Started</t>
        </is>
      </c>
      <c r="K14" s="77" t="inlineStr">
        <is>
          <t>Not Started</t>
        </is>
      </c>
      <c r="L14" s="77" t="inlineStr">
        <is>
          <t>Not Started</t>
        </is>
      </c>
      <c r="M14" s="77" t="inlineStr">
        <is>
          <t>Not Started</t>
        </is>
      </c>
      <c r="N14" s="77" t="inlineStr">
        <is>
          <t>Not Started</t>
        </is>
      </c>
      <c r="O14" s="77" t="inlineStr">
        <is>
          <t>Not Started</t>
        </is>
      </c>
      <c r="P14" s="77" t="inlineStr">
        <is>
          <t>Not Started</t>
        </is>
      </c>
      <c r="Q14" s="77" t="inlineStr">
        <is>
          <t>Not Started</t>
        </is>
      </c>
      <c r="R14" s="77" t="inlineStr">
        <is>
          <t>Not Started</t>
        </is>
      </c>
      <c r="S14" s="77" t="inlineStr">
        <is>
          <t>Not Started</t>
        </is>
      </c>
      <c r="T14" s="77" t="inlineStr">
        <is>
          <t>Not Started</t>
        </is>
      </c>
      <c r="U14" s="77" t="inlineStr">
        <is>
          <t>Not Started</t>
        </is>
      </c>
      <c r="V14" s="77" t="inlineStr">
        <is>
          <t>Not Started</t>
        </is>
      </c>
      <c r="W14" s="77" t="inlineStr">
        <is>
          <t>Not Started</t>
        </is>
      </c>
      <c r="X14" s="77" t="inlineStr">
        <is>
          <t>Not Started</t>
        </is>
      </c>
      <c r="Y14" s="77" t="inlineStr">
        <is>
          <t>Not Started</t>
        </is>
      </c>
      <c r="Z14" s="77" t="inlineStr">
        <is>
          <t>Not Started</t>
        </is>
      </c>
      <c r="AA14" s="77" t="inlineStr">
        <is>
          <t>Not Started</t>
        </is>
      </c>
      <c r="AB14" s="77" t="inlineStr">
        <is>
          <t>Not Started</t>
        </is>
      </c>
      <c r="AC14" s="77" t="inlineStr">
        <is>
          <t>Not Started</t>
        </is>
      </c>
      <c r="AD14" s="77" t="inlineStr">
        <is>
          <t>Not Started</t>
        </is>
      </c>
      <c r="AE14" s="77" t="inlineStr">
        <is>
          <t>Not Started</t>
        </is>
      </c>
      <c r="AF14" s="77" t="inlineStr">
        <is>
          <t>Not Started</t>
        </is>
      </c>
      <c r="AG14" s="77" t="inlineStr">
        <is>
          <t>Not Started</t>
        </is>
      </c>
      <c r="AH14" s="77" t="inlineStr">
        <is>
          <t>Not Started</t>
        </is>
      </c>
      <c r="AI14" s="77" t="inlineStr">
        <is>
          <t>Not Started</t>
        </is>
      </c>
      <c r="AJ14" s="77" t="inlineStr">
        <is>
          <t>Not Started</t>
        </is>
      </c>
      <c r="AK14" s="77" t="inlineStr">
        <is>
          <t>Not Started</t>
        </is>
      </c>
      <c r="AL14" s="77" t="inlineStr">
        <is>
          <t>Not Started</t>
        </is>
      </c>
      <c r="AM14" s="77" t="inlineStr">
        <is>
          <t>Not Started</t>
        </is>
      </c>
      <c r="AN14" s="77" t="inlineStr">
        <is>
          <t>Not Started</t>
        </is>
      </c>
      <c r="AO14" s="77" t="inlineStr">
        <is>
          <t>Not Started</t>
        </is>
      </c>
      <c r="AP14" s="77" t="inlineStr">
        <is>
          <t>Not Started</t>
        </is>
      </c>
      <c r="AQ14" s="77" t="inlineStr">
        <is>
          <t>Not Started</t>
        </is>
      </c>
      <c r="AR14" s="77" t="inlineStr">
        <is>
          <t>Not Started</t>
        </is>
      </c>
      <c r="AS14" s="77" t="inlineStr">
        <is>
          <t>Not Started</t>
        </is>
      </c>
      <c r="AT14" s="77" t="inlineStr">
        <is>
          <t>Not Started</t>
        </is>
      </c>
      <c r="AU14" s="77" t="inlineStr">
        <is>
          <t>Not Started</t>
        </is>
      </c>
      <c r="AV14" s="77" t="inlineStr">
        <is>
          <t>Not Started</t>
        </is>
      </c>
    </row>
    <row r="15" ht="18" customHeight="1">
      <c r="A15" s="75" t="inlineStr">
        <is>
          <t>2026-011</t>
        </is>
      </c>
      <c r="B15" s="76">
        <f>IFERROR(VLOOKUP(A15,'🗄️ Transactions'!$A:$C,3,FALSE),"")</f>
        <v/>
      </c>
      <c r="C15" s="77" t="inlineStr">
        <is>
          <t>Not Started</t>
        </is>
      </c>
      <c r="D15" s="77" t="inlineStr">
        <is>
          <t>Not Started</t>
        </is>
      </c>
      <c r="E15" s="77" t="inlineStr">
        <is>
          <t>Not Started</t>
        </is>
      </c>
      <c r="F15" s="77" t="inlineStr">
        <is>
          <t>Not Started</t>
        </is>
      </c>
      <c r="G15" s="77" t="inlineStr">
        <is>
          <t>Not Started</t>
        </is>
      </c>
      <c r="H15" s="77" t="inlineStr">
        <is>
          <t>Not Started</t>
        </is>
      </c>
      <c r="I15" s="77" t="inlineStr">
        <is>
          <t>Not Started</t>
        </is>
      </c>
      <c r="J15" s="77" t="inlineStr">
        <is>
          <t>Not Started</t>
        </is>
      </c>
      <c r="K15" s="77" t="inlineStr">
        <is>
          <t>Not Started</t>
        </is>
      </c>
      <c r="L15" s="77" t="inlineStr">
        <is>
          <t>Not Started</t>
        </is>
      </c>
      <c r="M15" s="77" t="inlineStr">
        <is>
          <t>Not Started</t>
        </is>
      </c>
      <c r="N15" s="77" t="inlineStr">
        <is>
          <t>Not Started</t>
        </is>
      </c>
      <c r="O15" s="77" t="inlineStr">
        <is>
          <t>Not Started</t>
        </is>
      </c>
      <c r="P15" s="77" t="inlineStr">
        <is>
          <t>Not Started</t>
        </is>
      </c>
      <c r="Q15" s="77" t="inlineStr">
        <is>
          <t>Not Started</t>
        </is>
      </c>
      <c r="R15" s="77" t="inlineStr">
        <is>
          <t>Not Started</t>
        </is>
      </c>
      <c r="S15" s="77" t="inlineStr">
        <is>
          <t>Not Started</t>
        </is>
      </c>
      <c r="T15" s="77" t="inlineStr">
        <is>
          <t>Not Started</t>
        </is>
      </c>
      <c r="U15" s="77" t="inlineStr">
        <is>
          <t>Not Started</t>
        </is>
      </c>
      <c r="V15" s="77" t="inlineStr">
        <is>
          <t>Not Started</t>
        </is>
      </c>
      <c r="W15" s="77" t="inlineStr">
        <is>
          <t>Not Started</t>
        </is>
      </c>
      <c r="X15" s="77" t="inlineStr">
        <is>
          <t>Not Started</t>
        </is>
      </c>
      <c r="Y15" s="77" t="inlineStr">
        <is>
          <t>Not Started</t>
        </is>
      </c>
      <c r="Z15" s="77" t="inlineStr">
        <is>
          <t>Not Started</t>
        </is>
      </c>
      <c r="AA15" s="77" t="inlineStr">
        <is>
          <t>Not Started</t>
        </is>
      </c>
      <c r="AB15" s="77" t="inlineStr">
        <is>
          <t>Not Started</t>
        </is>
      </c>
      <c r="AC15" s="77" t="inlineStr">
        <is>
          <t>Not Started</t>
        </is>
      </c>
      <c r="AD15" s="77" t="inlineStr">
        <is>
          <t>Not Started</t>
        </is>
      </c>
      <c r="AE15" s="77" t="inlineStr">
        <is>
          <t>Not Started</t>
        </is>
      </c>
      <c r="AF15" s="77" t="inlineStr">
        <is>
          <t>Not Started</t>
        </is>
      </c>
      <c r="AG15" s="77" t="inlineStr">
        <is>
          <t>Not Started</t>
        </is>
      </c>
      <c r="AH15" s="77" t="inlineStr">
        <is>
          <t>Not Started</t>
        </is>
      </c>
      <c r="AI15" s="77" t="inlineStr">
        <is>
          <t>Not Started</t>
        </is>
      </c>
      <c r="AJ15" s="77" t="inlineStr">
        <is>
          <t>Not Started</t>
        </is>
      </c>
      <c r="AK15" s="77" t="inlineStr">
        <is>
          <t>Not Started</t>
        </is>
      </c>
      <c r="AL15" s="77" t="inlineStr">
        <is>
          <t>Not Started</t>
        </is>
      </c>
      <c r="AM15" s="77" t="inlineStr">
        <is>
          <t>Not Started</t>
        </is>
      </c>
      <c r="AN15" s="77" t="inlineStr">
        <is>
          <t>Not Started</t>
        </is>
      </c>
      <c r="AO15" s="77" t="inlineStr">
        <is>
          <t>Not Started</t>
        </is>
      </c>
      <c r="AP15" s="77" t="inlineStr">
        <is>
          <t>Not Started</t>
        </is>
      </c>
      <c r="AQ15" s="77" t="inlineStr">
        <is>
          <t>Not Started</t>
        </is>
      </c>
      <c r="AR15" s="77" t="inlineStr">
        <is>
          <t>Not Started</t>
        </is>
      </c>
      <c r="AS15" s="77" t="inlineStr">
        <is>
          <t>Not Started</t>
        </is>
      </c>
      <c r="AT15" s="77" t="inlineStr">
        <is>
          <t>Not Started</t>
        </is>
      </c>
      <c r="AU15" s="77" t="inlineStr">
        <is>
          <t>Not Started</t>
        </is>
      </c>
      <c r="AV15" s="77" t="inlineStr">
        <is>
          <t>Not Started</t>
        </is>
      </c>
    </row>
    <row r="16" ht="18" customHeight="1">
      <c r="A16" s="75" t="inlineStr">
        <is>
          <t>2026-012</t>
        </is>
      </c>
      <c r="B16" s="76">
        <f>IFERROR(VLOOKUP(A16,'🗄️ Transactions'!$A:$C,3,FALSE),"")</f>
        <v/>
      </c>
      <c r="C16" s="77" t="inlineStr">
        <is>
          <t>Not Started</t>
        </is>
      </c>
      <c r="D16" s="77" t="inlineStr">
        <is>
          <t>Not Started</t>
        </is>
      </c>
      <c r="E16" s="77" t="inlineStr">
        <is>
          <t>Not Started</t>
        </is>
      </c>
      <c r="F16" s="77" t="inlineStr">
        <is>
          <t>Not Started</t>
        </is>
      </c>
      <c r="G16" s="77" t="inlineStr">
        <is>
          <t>Not Started</t>
        </is>
      </c>
      <c r="H16" s="77" t="inlineStr">
        <is>
          <t>Not Started</t>
        </is>
      </c>
      <c r="I16" s="77" t="inlineStr">
        <is>
          <t>Not Started</t>
        </is>
      </c>
      <c r="J16" s="77" t="inlineStr">
        <is>
          <t>Not Started</t>
        </is>
      </c>
      <c r="K16" s="77" t="inlineStr">
        <is>
          <t>Not Started</t>
        </is>
      </c>
      <c r="L16" s="77" t="inlineStr">
        <is>
          <t>Not Started</t>
        </is>
      </c>
      <c r="M16" s="77" t="inlineStr">
        <is>
          <t>Not Started</t>
        </is>
      </c>
      <c r="N16" s="77" t="inlineStr">
        <is>
          <t>Not Started</t>
        </is>
      </c>
      <c r="O16" s="77" t="inlineStr">
        <is>
          <t>Not Started</t>
        </is>
      </c>
      <c r="P16" s="77" t="inlineStr">
        <is>
          <t>Not Started</t>
        </is>
      </c>
      <c r="Q16" s="77" t="inlineStr">
        <is>
          <t>Not Started</t>
        </is>
      </c>
      <c r="R16" s="77" t="inlineStr">
        <is>
          <t>Not Started</t>
        </is>
      </c>
      <c r="S16" s="77" t="inlineStr">
        <is>
          <t>Not Started</t>
        </is>
      </c>
      <c r="T16" s="77" t="inlineStr">
        <is>
          <t>Not Started</t>
        </is>
      </c>
      <c r="U16" s="77" t="inlineStr">
        <is>
          <t>Not Started</t>
        </is>
      </c>
      <c r="V16" s="77" t="inlineStr">
        <is>
          <t>Not Started</t>
        </is>
      </c>
      <c r="W16" s="77" t="inlineStr">
        <is>
          <t>Not Started</t>
        </is>
      </c>
      <c r="X16" s="77" t="inlineStr">
        <is>
          <t>Not Started</t>
        </is>
      </c>
      <c r="Y16" s="77" t="inlineStr">
        <is>
          <t>Not Started</t>
        </is>
      </c>
      <c r="Z16" s="77" t="inlineStr">
        <is>
          <t>Not Started</t>
        </is>
      </c>
      <c r="AA16" s="77" t="inlineStr">
        <is>
          <t>Not Started</t>
        </is>
      </c>
      <c r="AB16" s="77" t="inlineStr">
        <is>
          <t>Not Started</t>
        </is>
      </c>
      <c r="AC16" s="77" t="inlineStr">
        <is>
          <t>Not Started</t>
        </is>
      </c>
      <c r="AD16" s="77" t="inlineStr">
        <is>
          <t>Not Started</t>
        </is>
      </c>
      <c r="AE16" s="77" t="inlineStr">
        <is>
          <t>Not Started</t>
        </is>
      </c>
      <c r="AF16" s="77" t="inlineStr">
        <is>
          <t>Not Started</t>
        </is>
      </c>
      <c r="AG16" s="77" t="inlineStr">
        <is>
          <t>Not Started</t>
        </is>
      </c>
      <c r="AH16" s="77" t="inlineStr">
        <is>
          <t>Not Started</t>
        </is>
      </c>
      <c r="AI16" s="77" t="inlineStr">
        <is>
          <t>Not Started</t>
        </is>
      </c>
      <c r="AJ16" s="77" t="inlineStr">
        <is>
          <t>Not Started</t>
        </is>
      </c>
      <c r="AK16" s="77" t="inlineStr">
        <is>
          <t>Not Started</t>
        </is>
      </c>
      <c r="AL16" s="77" t="inlineStr">
        <is>
          <t>Not Started</t>
        </is>
      </c>
      <c r="AM16" s="77" t="inlineStr">
        <is>
          <t>Not Started</t>
        </is>
      </c>
      <c r="AN16" s="77" t="inlineStr">
        <is>
          <t>Not Started</t>
        </is>
      </c>
      <c r="AO16" s="77" t="inlineStr">
        <is>
          <t>Not Started</t>
        </is>
      </c>
      <c r="AP16" s="77" t="inlineStr">
        <is>
          <t>Not Started</t>
        </is>
      </c>
      <c r="AQ16" s="77" t="inlineStr">
        <is>
          <t>Not Started</t>
        </is>
      </c>
      <c r="AR16" s="77" t="inlineStr">
        <is>
          <t>Not Started</t>
        </is>
      </c>
      <c r="AS16" s="77" t="inlineStr">
        <is>
          <t>Not Started</t>
        </is>
      </c>
      <c r="AT16" s="77" t="inlineStr">
        <is>
          <t>Not Started</t>
        </is>
      </c>
      <c r="AU16" s="77" t="inlineStr">
        <is>
          <t>Not Started</t>
        </is>
      </c>
      <c r="AV16" s="77" t="inlineStr">
        <is>
          <t>Not Started</t>
        </is>
      </c>
    </row>
    <row r="17" ht="18" customHeight="1">
      <c r="A17" s="75" t="inlineStr">
        <is>
          <t>2026-013</t>
        </is>
      </c>
      <c r="B17" s="76">
        <f>IFERROR(VLOOKUP(A17,'🗄️ Transactions'!$A:$C,3,FALSE),"")</f>
        <v/>
      </c>
      <c r="C17" s="77" t="inlineStr">
        <is>
          <t>Not Started</t>
        </is>
      </c>
      <c r="D17" s="77" t="inlineStr">
        <is>
          <t>Not Started</t>
        </is>
      </c>
      <c r="E17" s="77" t="inlineStr">
        <is>
          <t>Not Started</t>
        </is>
      </c>
      <c r="F17" s="77" t="inlineStr">
        <is>
          <t>Not Started</t>
        </is>
      </c>
      <c r="G17" s="77" t="inlineStr">
        <is>
          <t>Not Started</t>
        </is>
      </c>
      <c r="H17" s="77" t="inlineStr">
        <is>
          <t>Not Started</t>
        </is>
      </c>
      <c r="I17" s="77" t="inlineStr">
        <is>
          <t>Not Started</t>
        </is>
      </c>
      <c r="J17" s="77" t="inlineStr">
        <is>
          <t>Not Started</t>
        </is>
      </c>
      <c r="K17" s="77" t="inlineStr">
        <is>
          <t>Not Started</t>
        </is>
      </c>
      <c r="L17" s="77" t="inlineStr">
        <is>
          <t>Not Started</t>
        </is>
      </c>
      <c r="M17" s="77" t="inlineStr">
        <is>
          <t>Not Started</t>
        </is>
      </c>
      <c r="N17" s="77" t="inlineStr">
        <is>
          <t>Not Started</t>
        </is>
      </c>
      <c r="O17" s="77" t="inlineStr">
        <is>
          <t>Not Started</t>
        </is>
      </c>
      <c r="P17" s="77" t="inlineStr">
        <is>
          <t>Not Started</t>
        </is>
      </c>
      <c r="Q17" s="77" t="inlineStr">
        <is>
          <t>Not Started</t>
        </is>
      </c>
      <c r="R17" s="77" t="inlineStr">
        <is>
          <t>Not Started</t>
        </is>
      </c>
      <c r="S17" s="77" t="inlineStr">
        <is>
          <t>Not Started</t>
        </is>
      </c>
      <c r="T17" s="77" t="inlineStr">
        <is>
          <t>Not Started</t>
        </is>
      </c>
      <c r="U17" s="77" t="inlineStr">
        <is>
          <t>Not Started</t>
        </is>
      </c>
      <c r="V17" s="77" t="inlineStr">
        <is>
          <t>Not Started</t>
        </is>
      </c>
      <c r="W17" s="77" t="inlineStr">
        <is>
          <t>Not Started</t>
        </is>
      </c>
      <c r="X17" s="77" t="inlineStr">
        <is>
          <t>Not Started</t>
        </is>
      </c>
      <c r="Y17" s="77" t="inlineStr">
        <is>
          <t>Not Started</t>
        </is>
      </c>
      <c r="Z17" s="77" t="inlineStr">
        <is>
          <t>Not Started</t>
        </is>
      </c>
      <c r="AA17" s="77" t="inlineStr">
        <is>
          <t>Not Started</t>
        </is>
      </c>
      <c r="AB17" s="77" t="inlineStr">
        <is>
          <t>Not Started</t>
        </is>
      </c>
      <c r="AC17" s="77" t="inlineStr">
        <is>
          <t>Not Started</t>
        </is>
      </c>
      <c r="AD17" s="77" t="inlineStr">
        <is>
          <t>Not Started</t>
        </is>
      </c>
      <c r="AE17" s="77" t="inlineStr">
        <is>
          <t>Not Started</t>
        </is>
      </c>
      <c r="AF17" s="77" t="inlineStr">
        <is>
          <t>Not Started</t>
        </is>
      </c>
      <c r="AG17" s="77" t="inlineStr">
        <is>
          <t>Not Started</t>
        </is>
      </c>
      <c r="AH17" s="77" t="inlineStr">
        <is>
          <t>Not Started</t>
        </is>
      </c>
      <c r="AI17" s="77" t="inlineStr">
        <is>
          <t>Not Started</t>
        </is>
      </c>
      <c r="AJ17" s="77" t="inlineStr">
        <is>
          <t>Not Started</t>
        </is>
      </c>
      <c r="AK17" s="77" t="inlineStr">
        <is>
          <t>Not Started</t>
        </is>
      </c>
      <c r="AL17" s="77" t="inlineStr">
        <is>
          <t>Not Started</t>
        </is>
      </c>
      <c r="AM17" s="77" t="inlineStr">
        <is>
          <t>Not Started</t>
        </is>
      </c>
      <c r="AN17" s="77" t="inlineStr">
        <is>
          <t>Not Started</t>
        </is>
      </c>
      <c r="AO17" s="77" t="inlineStr">
        <is>
          <t>Not Started</t>
        </is>
      </c>
      <c r="AP17" s="77" t="inlineStr">
        <is>
          <t>Not Started</t>
        </is>
      </c>
      <c r="AQ17" s="77" t="inlineStr">
        <is>
          <t>Not Started</t>
        </is>
      </c>
      <c r="AR17" s="77" t="inlineStr">
        <is>
          <t>Not Started</t>
        </is>
      </c>
      <c r="AS17" s="77" t="inlineStr">
        <is>
          <t>Not Started</t>
        </is>
      </c>
      <c r="AT17" s="77" t="inlineStr">
        <is>
          <t>Not Started</t>
        </is>
      </c>
      <c r="AU17" s="77" t="inlineStr">
        <is>
          <t>Not Started</t>
        </is>
      </c>
      <c r="AV17" s="77" t="inlineStr">
        <is>
          <t>Not Started</t>
        </is>
      </c>
    </row>
    <row r="18" ht="18" customHeight="1">
      <c r="A18" s="75" t="inlineStr">
        <is>
          <t>2026-014</t>
        </is>
      </c>
      <c r="B18" s="76">
        <f>IFERROR(VLOOKUP(A18,'🗄️ Transactions'!$A:$C,3,FALSE),"")</f>
        <v/>
      </c>
      <c r="C18" s="77" t="inlineStr">
        <is>
          <t>Not Started</t>
        </is>
      </c>
      <c r="D18" s="77" t="inlineStr">
        <is>
          <t>Not Started</t>
        </is>
      </c>
      <c r="E18" s="77" t="inlineStr">
        <is>
          <t>Not Started</t>
        </is>
      </c>
      <c r="F18" s="77" t="inlineStr">
        <is>
          <t>Not Started</t>
        </is>
      </c>
      <c r="G18" s="77" t="inlineStr">
        <is>
          <t>Not Started</t>
        </is>
      </c>
      <c r="H18" s="77" t="inlineStr">
        <is>
          <t>Not Started</t>
        </is>
      </c>
      <c r="I18" s="77" t="inlineStr">
        <is>
          <t>Not Started</t>
        </is>
      </c>
      <c r="J18" s="77" t="inlineStr">
        <is>
          <t>Not Started</t>
        </is>
      </c>
      <c r="K18" s="77" t="inlineStr">
        <is>
          <t>Not Started</t>
        </is>
      </c>
      <c r="L18" s="77" t="inlineStr">
        <is>
          <t>Not Started</t>
        </is>
      </c>
      <c r="M18" s="77" t="inlineStr">
        <is>
          <t>Not Started</t>
        </is>
      </c>
      <c r="N18" s="77" t="inlineStr">
        <is>
          <t>Not Started</t>
        </is>
      </c>
      <c r="O18" s="77" t="inlineStr">
        <is>
          <t>Not Started</t>
        </is>
      </c>
      <c r="P18" s="77" t="inlineStr">
        <is>
          <t>Not Started</t>
        </is>
      </c>
      <c r="Q18" s="77" t="inlineStr">
        <is>
          <t>Not Started</t>
        </is>
      </c>
      <c r="R18" s="77" t="inlineStr">
        <is>
          <t>Not Started</t>
        </is>
      </c>
      <c r="S18" s="77" t="inlineStr">
        <is>
          <t>Not Started</t>
        </is>
      </c>
      <c r="T18" s="77" t="inlineStr">
        <is>
          <t>Not Started</t>
        </is>
      </c>
      <c r="U18" s="77" t="inlineStr">
        <is>
          <t>Not Started</t>
        </is>
      </c>
      <c r="V18" s="77" t="inlineStr">
        <is>
          <t>Not Started</t>
        </is>
      </c>
      <c r="W18" s="77" t="inlineStr">
        <is>
          <t>Not Started</t>
        </is>
      </c>
      <c r="X18" s="77" t="inlineStr">
        <is>
          <t>Not Started</t>
        </is>
      </c>
      <c r="Y18" s="77" t="inlineStr">
        <is>
          <t>Not Started</t>
        </is>
      </c>
      <c r="Z18" s="77" t="inlineStr">
        <is>
          <t>Not Started</t>
        </is>
      </c>
      <c r="AA18" s="77" t="inlineStr">
        <is>
          <t>Not Started</t>
        </is>
      </c>
      <c r="AB18" s="77" t="inlineStr">
        <is>
          <t>Not Started</t>
        </is>
      </c>
      <c r="AC18" s="77" t="inlineStr">
        <is>
          <t>Not Started</t>
        </is>
      </c>
      <c r="AD18" s="77" t="inlineStr">
        <is>
          <t>Not Started</t>
        </is>
      </c>
      <c r="AE18" s="77" t="inlineStr">
        <is>
          <t>Not Started</t>
        </is>
      </c>
      <c r="AF18" s="77" t="inlineStr">
        <is>
          <t>Not Started</t>
        </is>
      </c>
      <c r="AG18" s="77" t="inlineStr">
        <is>
          <t>Not Started</t>
        </is>
      </c>
      <c r="AH18" s="77" t="inlineStr">
        <is>
          <t>Not Started</t>
        </is>
      </c>
      <c r="AI18" s="77" t="inlineStr">
        <is>
          <t>Not Started</t>
        </is>
      </c>
      <c r="AJ18" s="77" t="inlineStr">
        <is>
          <t>Not Started</t>
        </is>
      </c>
      <c r="AK18" s="77" t="inlineStr">
        <is>
          <t>Not Started</t>
        </is>
      </c>
      <c r="AL18" s="77" t="inlineStr">
        <is>
          <t>Not Started</t>
        </is>
      </c>
      <c r="AM18" s="77" t="inlineStr">
        <is>
          <t>Not Started</t>
        </is>
      </c>
      <c r="AN18" s="77" t="inlineStr">
        <is>
          <t>Not Started</t>
        </is>
      </c>
      <c r="AO18" s="77" t="inlineStr">
        <is>
          <t>Not Started</t>
        </is>
      </c>
      <c r="AP18" s="77" t="inlineStr">
        <is>
          <t>Not Started</t>
        </is>
      </c>
      <c r="AQ18" s="77" t="inlineStr">
        <is>
          <t>Not Started</t>
        </is>
      </c>
      <c r="AR18" s="77" t="inlineStr">
        <is>
          <t>Not Started</t>
        </is>
      </c>
      <c r="AS18" s="77" t="inlineStr">
        <is>
          <t>Not Started</t>
        </is>
      </c>
      <c r="AT18" s="77" t="inlineStr">
        <is>
          <t>Not Started</t>
        </is>
      </c>
      <c r="AU18" s="77" t="inlineStr">
        <is>
          <t>Not Started</t>
        </is>
      </c>
      <c r="AV18" s="77" t="inlineStr">
        <is>
          <t>Not Started</t>
        </is>
      </c>
    </row>
    <row r="19" ht="18" customHeight="1">
      <c r="A19" s="75" t="inlineStr">
        <is>
          <t>2026-015</t>
        </is>
      </c>
      <c r="B19" s="76">
        <f>IFERROR(VLOOKUP(A19,'🗄️ Transactions'!$A:$C,3,FALSE),"")</f>
        <v/>
      </c>
      <c r="C19" s="77" t="inlineStr">
        <is>
          <t>Not Started</t>
        </is>
      </c>
      <c r="D19" s="77" t="inlineStr">
        <is>
          <t>Not Started</t>
        </is>
      </c>
      <c r="E19" s="77" t="inlineStr">
        <is>
          <t>Not Started</t>
        </is>
      </c>
      <c r="F19" s="77" t="inlineStr">
        <is>
          <t>Not Started</t>
        </is>
      </c>
      <c r="G19" s="77" t="inlineStr">
        <is>
          <t>Not Started</t>
        </is>
      </c>
      <c r="H19" s="77" t="inlineStr">
        <is>
          <t>Not Started</t>
        </is>
      </c>
      <c r="I19" s="77" t="inlineStr">
        <is>
          <t>Not Started</t>
        </is>
      </c>
      <c r="J19" s="77" t="inlineStr">
        <is>
          <t>Not Started</t>
        </is>
      </c>
      <c r="K19" s="77" t="inlineStr">
        <is>
          <t>Not Started</t>
        </is>
      </c>
      <c r="L19" s="77" t="inlineStr">
        <is>
          <t>Not Started</t>
        </is>
      </c>
      <c r="M19" s="77" t="inlineStr">
        <is>
          <t>Not Started</t>
        </is>
      </c>
      <c r="N19" s="77" t="inlineStr">
        <is>
          <t>Not Started</t>
        </is>
      </c>
      <c r="O19" s="77" t="inlineStr">
        <is>
          <t>Not Started</t>
        </is>
      </c>
      <c r="P19" s="77" t="inlineStr">
        <is>
          <t>Not Started</t>
        </is>
      </c>
      <c r="Q19" s="77" t="inlineStr">
        <is>
          <t>Not Started</t>
        </is>
      </c>
      <c r="R19" s="77" t="inlineStr">
        <is>
          <t>Not Started</t>
        </is>
      </c>
      <c r="S19" s="77" t="inlineStr">
        <is>
          <t>Not Started</t>
        </is>
      </c>
      <c r="T19" s="77" t="inlineStr">
        <is>
          <t>Not Started</t>
        </is>
      </c>
      <c r="U19" s="77" t="inlineStr">
        <is>
          <t>Not Started</t>
        </is>
      </c>
      <c r="V19" s="77" t="inlineStr">
        <is>
          <t>Not Started</t>
        </is>
      </c>
      <c r="W19" s="77" t="inlineStr">
        <is>
          <t>Not Started</t>
        </is>
      </c>
      <c r="X19" s="77" t="inlineStr">
        <is>
          <t>Not Started</t>
        </is>
      </c>
      <c r="Y19" s="77" t="inlineStr">
        <is>
          <t>Not Started</t>
        </is>
      </c>
      <c r="Z19" s="77" t="inlineStr">
        <is>
          <t>Not Started</t>
        </is>
      </c>
      <c r="AA19" s="77" t="inlineStr">
        <is>
          <t>Not Started</t>
        </is>
      </c>
      <c r="AB19" s="77" t="inlineStr">
        <is>
          <t>Not Started</t>
        </is>
      </c>
      <c r="AC19" s="77" t="inlineStr">
        <is>
          <t>Not Started</t>
        </is>
      </c>
      <c r="AD19" s="77" t="inlineStr">
        <is>
          <t>Not Started</t>
        </is>
      </c>
      <c r="AE19" s="77" t="inlineStr">
        <is>
          <t>Not Started</t>
        </is>
      </c>
      <c r="AF19" s="77" t="inlineStr">
        <is>
          <t>Not Started</t>
        </is>
      </c>
      <c r="AG19" s="77" t="inlineStr">
        <is>
          <t>Not Started</t>
        </is>
      </c>
      <c r="AH19" s="77" t="inlineStr">
        <is>
          <t>Not Started</t>
        </is>
      </c>
      <c r="AI19" s="77" t="inlineStr">
        <is>
          <t>Not Started</t>
        </is>
      </c>
      <c r="AJ19" s="77" t="inlineStr">
        <is>
          <t>Not Started</t>
        </is>
      </c>
      <c r="AK19" s="77" t="inlineStr">
        <is>
          <t>Not Started</t>
        </is>
      </c>
      <c r="AL19" s="77" t="inlineStr">
        <is>
          <t>Not Started</t>
        </is>
      </c>
      <c r="AM19" s="77" t="inlineStr">
        <is>
          <t>Not Started</t>
        </is>
      </c>
      <c r="AN19" s="77" t="inlineStr">
        <is>
          <t>Not Started</t>
        </is>
      </c>
      <c r="AO19" s="77" t="inlineStr">
        <is>
          <t>Not Started</t>
        </is>
      </c>
      <c r="AP19" s="77" t="inlineStr">
        <is>
          <t>Not Started</t>
        </is>
      </c>
      <c r="AQ19" s="77" t="inlineStr">
        <is>
          <t>Not Started</t>
        </is>
      </c>
      <c r="AR19" s="77" t="inlineStr">
        <is>
          <t>Not Started</t>
        </is>
      </c>
      <c r="AS19" s="77" t="inlineStr">
        <is>
          <t>Not Started</t>
        </is>
      </c>
      <c r="AT19" s="77" t="inlineStr">
        <is>
          <t>Not Started</t>
        </is>
      </c>
      <c r="AU19" s="77" t="inlineStr">
        <is>
          <t>Not Started</t>
        </is>
      </c>
      <c r="AV19" s="77" t="inlineStr">
        <is>
          <t>Not Started</t>
        </is>
      </c>
    </row>
    <row r="20" ht="18" customHeight="1">
      <c r="A20" s="75" t="inlineStr">
        <is>
          <t>2026-016</t>
        </is>
      </c>
      <c r="B20" s="76">
        <f>IFERROR(VLOOKUP(A20,'🗄️ Transactions'!$A:$C,3,FALSE),"")</f>
        <v/>
      </c>
      <c r="C20" s="77" t="inlineStr">
        <is>
          <t>Not Started</t>
        </is>
      </c>
      <c r="D20" s="77" t="inlineStr">
        <is>
          <t>Not Started</t>
        </is>
      </c>
      <c r="E20" s="77" t="inlineStr">
        <is>
          <t>Not Started</t>
        </is>
      </c>
      <c r="F20" s="77" t="inlineStr">
        <is>
          <t>Not Started</t>
        </is>
      </c>
      <c r="G20" s="77" t="inlineStr">
        <is>
          <t>Not Started</t>
        </is>
      </c>
      <c r="H20" s="77" t="inlineStr">
        <is>
          <t>Not Started</t>
        </is>
      </c>
      <c r="I20" s="77" t="inlineStr">
        <is>
          <t>Not Started</t>
        </is>
      </c>
      <c r="J20" s="77" t="inlineStr">
        <is>
          <t>Not Started</t>
        </is>
      </c>
      <c r="K20" s="77" t="inlineStr">
        <is>
          <t>Not Started</t>
        </is>
      </c>
      <c r="L20" s="77" t="inlineStr">
        <is>
          <t>Not Started</t>
        </is>
      </c>
      <c r="M20" s="77" t="inlineStr">
        <is>
          <t>Not Started</t>
        </is>
      </c>
      <c r="N20" s="77" t="inlineStr">
        <is>
          <t>Not Started</t>
        </is>
      </c>
      <c r="O20" s="77" t="inlineStr">
        <is>
          <t>Not Started</t>
        </is>
      </c>
      <c r="P20" s="77" t="inlineStr">
        <is>
          <t>Not Started</t>
        </is>
      </c>
      <c r="Q20" s="77" t="inlineStr">
        <is>
          <t>Not Started</t>
        </is>
      </c>
      <c r="R20" s="77" t="inlineStr">
        <is>
          <t>Not Started</t>
        </is>
      </c>
      <c r="S20" s="77" t="inlineStr">
        <is>
          <t>Not Started</t>
        </is>
      </c>
      <c r="T20" s="77" t="inlineStr">
        <is>
          <t>Not Started</t>
        </is>
      </c>
      <c r="U20" s="77" t="inlineStr">
        <is>
          <t>Not Started</t>
        </is>
      </c>
      <c r="V20" s="77" t="inlineStr">
        <is>
          <t>Not Started</t>
        </is>
      </c>
      <c r="W20" s="77" t="inlineStr">
        <is>
          <t>Not Started</t>
        </is>
      </c>
      <c r="X20" s="77" t="inlineStr">
        <is>
          <t>Not Started</t>
        </is>
      </c>
      <c r="Y20" s="77" t="inlineStr">
        <is>
          <t>Not Started</t>
        </is>
      </c>
      <c r="Z20" s="77" t="inlineStr">
        <is>
          <t>Not Started</t>
        </is>
      </c>
      <c r="AA20" s="77" t="inlineStr">
        <is>
          <t>Not Started</t>
        </is>
      </c>
      <c r="AB20" s="77" t="inlineStr">
        <is>
          <t>Not Started</t>
        </is>
      </c>
      <c r="AC20" s="77" t="inlineStr">
        <is>
          <t>Not Started</t>
        </is>
      </c>
      <c r="AD20" s="77" t="inlineStr">
        <is>
          <t>Not Started</t>
        </is>
      </c>
      <c r="AE20" s="77" t="inlineStr">
        <is>
          <t>Not Started</t>
        </is>
      </c>
      <c r="AF20" s="77" t="inlineStr">
        <is>
          <t>Not Started</t>
        </is>
      </c>
      <c r="AG20" s="77" t="inlineStr">
        <is>
          <t>Not Started</t>
        </is>
      </c>
      <c r="AH20" s="77" t="inlineStr">
        <is>
          <t>Not Started</t>
        </is>
      </c>
      <c r="AI20" s="77" t="inlineStr">
        <is>
          <t>Not Started</t>
        </is>
      </c>
      <c r="AJ20" s="77" t="inlineStr">
        <is>
          <t>Not Started</t>
        </is>
      </c>
      <c r="AK20" s="77" t="inlineStr">
        <is>
          <t>Not Started</t>
        </is>
      </c>
      <c r="AL20" s="77" t="inlineStr">
        <is>
          <t>Not Started</t>
        </is>
      </c>
      <c r="AM20" s="77" t="inlineStr">
        <is>
          <t>Not Started</t>
        </is>
      </c>
      <c r="AN20" s="77" t="inlineStr">
        <is>
          <t>Not Started</t>
        </is>
      </c>
      <c r="AO20" s="77" t="inlineStr">
        <is>
          <t>Not Started</t>
        </is>
      </c>
      <c r="AP20" s="77" t="inlineStr">
        <is>
          <t>Not Started</t>
        </is>
      </c>
      <c r="AQ20" s="77" t="inlineStr">
        <is>
          <t>Not Started</t>
        </is>
      </c>
      <c r="AR20" s="77" t="inlineStr">
        <is>
          <t>Not Started</t>
        </is>
      </c>
      <c r="AS20" s="77" t="inlineStr">
        <is>
          <t>Not Started</t>
        </is>
      </c>
      <c r="AT20" s="77" t="inlineStr">
        <is>
          <t>Not Started</t>
        </is>
      </c>
      <c r="AU20" s="77" t="inlineStr">
        <is>
          <t>Not Started</t>
        </is>
      </c>
      <c r="AV20" s="77" t="inlineStr">
        <is>
          <t>Not Started</t>
        </is>
      </c>
    </row>
    <row r="21" ht="18" customHeight="1">
      <c r="A21" s="75" t="inlineStr">
        <is>
          <t>2026-017</t>
        </is>
      </c>
      <c r="B21" s="76">
        <f>IFERROR(VLOOKUP(A21,'🗄️ Transactions'!$A:$C,3,FALSE),"")</f>
        <v/>
      </c>
      <c r="C21" s="77" t="inlineStr">
        <is>
          <t>Not Started</t>
        </is>
      </c>
      <c r="D21" s="77" t="inlineStr">
        <is>
          <t>Not Started</t>
        </is>
      </c>
      <c r="E21" s="77" t="inlineStr">
        <is>
          <t>Not Started</t>
        </is>
      </c>
      <c r="F21" s="77" t="inlineStr">
        <is>
          <t>Not Started</t>
        </is>
      </c>
      <c r="G21" s="77" t="inlineStr">
        <is>
          <t>Not Started</t>
        </is>
      </c>
      <c r="H21" s="77" t="inlineStr">
        <is>
          <t>Not Started</t>
        </is>
      </c>
      <c r="I21" s="77" t="inlineStr">
        <is>
          <t>Not Started</t>
        </is>
      </c>
      <c r="J21" s="77" t="inlineStr">
        <is>
          <t>Not Started</t>
        </is>
      </c>
      <c r="K21" s="77" t="inlineStr">
        <is>
          <t>Not Started</t>
        </is>
      </c>
      <c r="L21" s="77" t="inlineStr">
        <is>
          <t>Not Started</t>
        </is>
      </c>
      <c r="M21" s="77" t="inlineStr">
        <is>
          <t>Not Started</t>
        </is>
      </c>
      <c r="N21" s="77" t="inlineStr">
        <is>
          <t>Not Started</t>
        </is>
      </c>
      <c r="O21" s="77" t="inlineStr">
        <is>
          <t>Not Started</t>
        </is>
      </c>
      <c r="P21" s="77" t="inlineStr">
        <is>
          <t>Not Started</t>
        </is>
      </c>
      <c r="Q21" s="77" t="inlineStr">
        <is>
          <t>Not Started</t>
        </is>
      </c>
      <c r="R21" s="77" t="inlineStr">
        <is>
          <t>Not Started</t>
        </is>
      </c>
      <c r="S21" s="77" t="inlineStr">
        <is>
          <t>Not Started</t>
        </is>
      </c>
      <c r="T21" s="77" t="inlineStr">
        <is>
          <t>Not Started</t>
        </is>
      </c>
      <c r="U21" s="77" t="inlineStr">
        <is>
          <t>Not Started</t>
        </is>
      </c>
      <c r="V21" s="77" t="inlineStr">
        <is>
          <t>Not Started</t>
        </is>
      </c>
      <c r="W21" s="77" t="inlineStr">
        <is>
          <t>Not Started</t>
        </is>
      </c>
      <c r="X21" s="77" t="inlineStr">
        <is>
          <t>Not Started</t>
        </is>
      </c>
      <c r="Y21" s="77" t="inlineStr">
        <is>
          <t>Not Started</t>
        </is>
      </c>
      <c r="Z21" s="77" t="inlineStr">
        <is>
          <t>Not Started</t>
        </is>
      </c>
      <c r="AA21" s="77" t="inlineStr">
        <is>
          <t>Not Started</t>
        </is>
      </c>
      <c r="AB21" s="77" t="inlineStr">
        <is>
          <t>Not Started</t>
        </is>
      </c>
      <c r="AC21" s="77" t="inlineStr">
        <is>
          <t>Not Started</t>
        </is>
      </c>
      <c r="AD21" s="77" t="inlineStr">
        <is>
          <t>Not Started</t>
        </is>
      </c>
      <c r="AE21" s="77" t="inlineStr">
        <is>
          <t>Not Started</t>
        </is>
      </c>
      <c r="AF21" s="77" t="inlineStr">
        <is>
          <t>Not Started</t>
        </is>
      </c>
      <c r="AG21" s="77" t="inlineStr">
        <is>
          <t>Not Started</t>
        </is>
      </c>
      <c r="AH21" s="77" t="inlineStr">
        <is>
          <t>Not Started</t>
        </is>
      </c>
      <c r="AI21" s="77" t="inlineStr">
        <is>
          <t>Not Started</t>
        </is>
      </c>
      <c r="AJ21" s="77" t="inlineStr">
        <is>
          <t>Not Started</t>
        </is>
      </c>
      <c r="AK21" s="77" t="inlineStr">
        <is>
          <t>Not Started</t>
        </is>
      </c>
      <c r="AL21" s="77" t="inlineStr">
        <is>
          <t>Not Started</t>
        </is>
      </c>
      <c r="AM21" s="77" t="inlineStr">
        <is>
          <t>Not Started</t>
        </is>
      </c>
      <c r="AN21" s="77" t="inlineStr">
        <is>
          <t>Not Started</t>
        </is>
      </c>
      <c r="AO21" s="77" t="inlineStr">
        <is>
          <t>Not Started</t>
        </is>
      </c>
      <c r="AP21" s="77" t="inlineStr">
        <is>
          <t>Not Started</t>
        </is>
      </c>
      <c r="AQ21" s="77" t="inlineStr">
        <is>
          <t>Not Started</t>
        </is>
      </c>
      <c r="AR21" s="77" t="inlineStr">
        <is>
          <t>Not Started</t>
        </is>
      </c>
      <c r="AS21" s="77" t="inlineStr">
        <is>
          <t>Not Started</t>
        </is>
      </c>
      <c r="AT21" s="77" t="inlineStr">
        <is>
          <t>Not Started</t>
        </is>
      </c>
      <c r="AU21" s="77" t="inlineStr">
        <is>
          <t>Not Started</t>
        </is>
      </c>
      <c r="AV21" s="77" t="inlineStr">
        <is>
          <t>Not Started</t>
        </is>
      </c>
    </row>
    <row r="22" ht="18" customHeight="1">
      <c r="A22" s="75" t="inlineStr">
        <is>
          <t>2026-018</t>
        </is>
      </c>
      <c r="B22" s="76">
        <f>IFERROR(VLOOKUP(A22,'🗄️ Transactions'!$A:$C,3,FALSE),"")</f>
        <v/>
      </c>
      <c r="C22" s="77" t="inlineStr">
        <is>
          <t>Not Started</t>
        </is>
      </c>
      <c r="D22" s="77" t="inlineStr">
        <is>
          <t>Not Started</t>
        </is>
      </c>
      <c r="E22" s="77" t="inlineStr">
        <is>
          <t>Not Started</t>
        </is>
      </c>
      <c r="F22" s="77" t="inlineStr">
        <is>
          <t>Not Started</t>
        </is>
      </c>
      <c r="G22" s="77" t="inlineStr">
        <is>
          <t>Not Started</t>
        </is>
      </c>
      <c r="H22" s="77" t="inlineStr">
        <is>
          <t>Not Started</t>
        </is>
      </c>
      <c r="I22" s="77" t="inlineStr">
        <is>
          <t>Not Started</t>
        </is>
      </c>
      <c r="J22" s="77" t="inlineStr">
        <is>
          <t>Not Started</t>
        </is>
      </c>
      <c r="K22" s="77" t="inlineStr">
        <is>
          <t>Not Started</t>
        </is>
      </c>
      <c r="L22" s="77" t="inlineStr">
        <is>
          <t>Not Started</t>
        </is>
      </c>
      <c r="M22" s="77" t="inlineStr">
        <is>
          <t>Not Started</t>
        </is>
      </c>
      <c r="N22" s="77" t="inlineStr">
        <is>
          <t>Not Started</t>
        </is>
      </c>
      <c r="O22" s="77" t="inlineStr">
        <is>
          <t>Not Started</t>
        </is>
      </c>
      <c r="P22" s="77" t="inlineStr">
        <is>
          <t>Not Started</t>
        </is>
      </c>
      <c r="Q22" s="77" t="inlineStr">
        <is>
          <t>Not Started</t>
        </is>
      </c>
      <c r="R22" s="77" t="inlineStr">
        <is>
          <t>Not Started</t>
        </is>
      </c>
      <c r="S22" s="77" t="inlineStr">
        <is>
          <t>Not Started</t>
        </is>
      </c>
      <c r="T22" s="77" t="inlineStr">
        <is>
          <t>Not Started</t>
        </is>
      </c>
      <c r="U22" s="77" t="inlineStr">
        <is>
          <t>Not Started</t>
        </is>
      </c>
      <c r="V22" s="77" t="inlineStr">
        <is>
          <t>Not Started</t>
        </is>
      </c>
      <c r="W22" s="77" t="inlineStr">
        <is>
          <t>Not Started</t>
        </is>
      </c>
      <c r="X22" s="77" t="inlineStr">
        <is>
          <t>Not Started</t>
        </is>
      </c>
      <c r="Y22" s="77" t="inlineStr">
        <is>
          <t>Not Started</t>
        </is>
      </c>
      <c r="Z22" s="77" t="inlineStr">
        <is>
          <t>Not Started</t>
        </is>
      </c>
      <c r="AA22" s="77" t="inlineStr">
        <is>
          <t>Not Started</t>
        </is>
      </c>
      <c r="AB22" s="77" t="inlineStr">
        <is>
          <t>Not Started</t>
        </is>
      </c>
      <c r="AC22" s="77" t="inlineStr">
        <is>
          <t>Not Started</t>
        </is>
      </c>
      <c r="AD22" s="77" t="inlineStr">
        <is>
          <t>Not Started</t>
        </is>
      </c>
      <c r="AE22" s="77" t="inlineStr">
        <is>
          <t>Not Started</t>
        </is>
      </c>
      <c r="AF22" s="77" t="inlineStr">
        <is>
          <t>Not Started</t>
        </is>
      </c>
      <c r="AG22" s="77" t="inlineStr">
        <is>
          <t>Not Started</t>
        </is>
      </c>
      <c r="AH22" s="77" t="inlineStr">
        <is>
          <t>Not Started</t>
        </is>
      </c>
      <c r="AI22" s="77" t="inlineStr">
        <is>
          <t>Not Started</t>
        </is>
      </c>
      <c r="AJ22" s="77" t="inlineStr">
        <is>
          <t>Not Started</t>
        </is>
      </c>
      <c r="AK22" s="77" t="inlineStr">
        <is>
          <t>Not Started</t>
        </is>
      </c>
      <c r="AL22" s="77" t="inlineStr">
        <is>
          <t>Not Started</t>
        </is>
      </c>
      <c r="AM22" s="77" t="inlineStr">
        <is>
          <t>Not Started</t>
        </is>
      </c>
      <c r="AN22" s="77" t="inlineStr">
        <is>
          <t>Not Started</t>
        </is>
      </c>
      <c r="AO22" s="77" t="inlineStr">
        <is>
          <t>Not Started</t>
        </is>
      </c>
      <c r="AP22" s="77" t="inlineStr">
        <is>
          <t>Not Started</t>
        </is>
      </c>
      <c r="AQ22" s="77" t="inlineStr">
        <is>
          <t>Not Started</t>
        </is>
      </c>
      <c r="AR22" s="77" t="inlineStr">
        <is>
          <t>Not Started</t>
        </is>
      </c>
      <c r="AS22" s="77" t="inlineStr">
        <is>
          <t>Not Started</t>
        </is>
      </c>
      <c r="AT22" s="77" t="inlineStr">
        <is>
          <t>Not Started</t>
        </is>
      </c>
      <c r="AU22" s="77" t="inlineStr">
        <is>
          <t>Not Started</t>
        </is>
      </c>
      <c r="AV22" s="77" t="inlineStr">
        <is>
          <t>Not Started</t>
        </is>
      </c>
    </row>
    <row r="23" ht="18" customHeight="1">
      <c r="A23" s="75" t="inlineStr">
        <is>
          <t>2026-019</t>
        </is>
      </c>
      <c r="B23" s="76">
        <f>IFERROR(VLOOKUP(A23,'🗄️ Transactions'!$A:$C,3,FALSE),"")</f>
        <v/>
      </c>
      <c r="C23" s="77" t="inlineStr">
        <is>
          <t>Not Started</t>
        </is>
      </c>
      <c r="D23" s="77" t="inlineStr">
        <is>
          <t>Not Started</t>
        </is>
      </c>
      <c r="E23" s="77" t="inlineStr">
        <is>
          <t>Not Started</t>
        </is>
      </c>
      <c r="F23" s="77" t="inlineStr">
        <is>
          <t>Not Started</t>
        </is>
      </c>
      <c r="G23" s="77" t="inlineStr">
        <is>
          <t>Not Started</t>
        </is>
      </c>
      <c r="H23" s="77" t="inlineStr">
        <is>
          <t>Not Started</t>
        </is>
      </c>
      <c r="I23" s="77" t="inlineStr">
        <is>
          <t>Not Started</t>
        </is>
      </c>
      <c r="J23" s="77" t="inlineStr">
        <is>
          <t>Not Started</t>
        </is>
      </c>
      <c r="K23" s="77" t="inlineStr">
        <is>
          <t>Not Started</t>
        </is>
      </c>
      <c r="L23" s="77" t="inlineStr">
        <is>
          <t>Not Started</t>
        </is>
      </c>
      <c r="M23" s="77" t="inlineStr">
        <is>
          <t>Not Started</t>
        </is>
      </c>
      <c r="N23" s="77" t="inlineStr">
        <is>
          <t>Not Started</t>
        </is>
      </c>
      <c r="O23" s="77" t="inlineStr">
        <is>
          <t>Not Started</t>
        </is>
      </c>
      <c r="P23" s="77" t="inlineStr">
        <is>
          <t>Not Started</t>
        </is>
      </c>
      <c r="Q23" s="77" t="inlineStr">
        <is>
          <t>Not Started</t>
        </is>
      </c>
      <c r="R23" s="77" t="inlineStr">
        <is>
          <t>Not Started</t>
        </is>
      </c>
      <c r="S23" s="77" t="inlineStr">
        <is>
          <t>Not Started</t>
        </is>
      </c>
      <c r="T23" s="77" t="inlineStr">
        <is>
          <t>Not Started</t>
        </is>
      </c>
      <c r="U23" s="77" t="inlineStr">
        <is>
          <t>Not Started</t>
        </is>
      </c>
      <c r="V23" s="77" t="inlineStr">
        <is>
          <t>Not Started</t>
        </is>
      </c>
      <c r="W23" s="77" t="inlineStr">
        <is>
          <t>Not Started</t>
        </is>
      </c>
      <c r="X23" s="77" t="inlineStr">
        <is>
          <t>Not Started</t>
        </is>
      </c>
      <c r="Y23" s="77" t="inlineStr">
        <is>
          <t>Not Started</t>
        </is>
      </c>
      <c r="Z23" s="77" t="inlineStr">
        <is>
          <t>Not Started</t>
        </is>
      </c>
      <c r="AA23" s="77" t="inlineStr">
        <is>
          <t>Not Started</t>
        </is>
      </c>
      <c r="AB23" s="77" t="inlineStr">
        <is>
          <t>Not Started</t>
        </is>
      </c>
      <c r="AC23" s="77" t="inlineStr">
        <is>
          <t>Not Started</t>
        </is>
      </c>
      <c r="AD23" s="77" t="inlineStr">
        <is>
          <t>Not Started</t>
        </is>
      </c>
      <c r="AE23" s="77" t="inlineStr">
        <is>
          <t>Not Started</t>
        </is>
      </c>
      <c r="AF23" s="77" t="inlineStr">
        <is>
          <t>Not Started</t>
        </is>
      </c>
      <c r="AG23" s="77" t="inlineStr">
        <is>
          <t>Not Started</t>
        </is>
      </c>
      <c r="AH23" s="77" t="inlineStr">
        <is>
          <t>Not Started</t>
        </is>
      </c>
      <c r="AI23" s="77" t="inlineStr">
        <is>
          <t>Not Started</t>
        </is>
      </c>
      <c r="AJ23" s="77" t="inlineStr">
        <is>
          <t>Not Started</t>
        </is>
      </c>
      <c r="AK23" s="77" t="inlineStr">
        <is>
          <t>Not Started</t>
        </is>
      </c>
      <c r="AL23" s="77" t="inlineStr">
        <is>
          <t>Not Started</t>
        </is>
      </c>
      <c r="AM23" s="77" t="inlineStr">
        <is>
          <t>Not Started</t>
        </is>
      </c>
      <c r="AN23" s="77" t="inlineStr">
        <is>
          <t>Not Started</t>
        </is>
      </c>
      <c r="AO23" s="77" t="inlineStr">
        <is>
          <t>Not Started</t>
        </is>
      </c>
      <c r="AP23" s="77" t="inlineStr">
        <is>
          <t>Not Started</t>
        </is>
      </c>
      <c r="AQ23" s="77" t="inlineStr">
        <is>
          <t>Not Started</t>
        </is>
      </c>
      <c r="AR23" s="77" t="inlineStr">
        <is>
          <t>Not Started</t>
        </is>
      </c>
      <c r="AS23" s="77" t="inlineStr">
        <is>
          <t>Not Started</t>
        </is>
      </c>
      <c r="AT23" s="77" t="inlineStr">
        <is>
          <t>Not Started</t>
        </is>
      </c>
      <c r="AU23" s="77" t="inlineStr">
        <is>
          <t>Not Started</t>
        </is>
      </c>
      <c r="AV23" s="77" t="inlineStr">
        <is>
          <t>Not Started</t>
        </is>
      </c>
    </row>
    <row r="24" ht="18" customHeight="1">
      <c r="A24" s="75" t="inlineStr">
        <is>
          <t>2026-020</t>
        </is>
      </c>
      <c r="B24" s="76">
        <f>IFERROR(VLOOKUP(A24,'🗄️ Transactions'!$A:$C,3,FALSE),"")</f>
        <v/>
      </c>
      <c r="C24" s="77" t="inlineStr">
        <is>
          <t>Not Started</t>
        </is>
      </c>
      <c r="D24" s="77" t="inlineStr">
        <is>
          <t>Not Started</t>
        </is>
      </c>
      <c r="E24" s="77" t="inlineStr">
        <is>
          <t>Not Started</t>
        </is>
      </c>
      <c r="F24" s="77" t="inlineStr">
        <is>
          <t>Not Started</t>
        </is>
      </c>
      <c r="G24" s="77" t="inlineStr">
        <is>
          <t>Not Started</t>
        </is>
      </c>
      <c r="H24" s="77" t="inlineStr">
        <is>
          <t>Not Started</t>
        </is>
      </c>
      <c r="I24" s="77" t="inlineStr">
        <is>
          <t>Not Started</t>
        </is>
      </c>
      <c r="J24" s="77" t="inlineStr">
        <is>
          <t>Not Started</t>
        </is>
      </c>
      <c r="K24" s="77" t="inlineStr">
        <is>
          <t>Not Started</t>
        </is>
      </c>
      <c r="L24" s="77" t="inlineStr">
        <is>
          <t>Not Started</t>
        </is>
      </c>
      <c r="M24" s="77" t="inlineStr">
        <is>
          <t>Not Started</t>
        </is>
      </c>
      <c r="N24" s="77" t="inlineStr">
        <is>
          <t>Not Started</t>
        </is>
      </c>
      <c r="O24" s="77" t="inlineStr">
        <is>
          <t>Not Started</t>
        </is>
      </c>
      <c r="P24" s="77" t="inlineStr">
        <is>
          <t>Not Started</t>
        </is>
      </c>
      <c r="Q24" s="77" t="inlineStr">
        <is>
          <t>Not Started</t>
        </is>
      </c>
      <c r="R24" s="77" t="inlineStr">
        <is>
          <t>Not Started</t>
        </is>
      </c>
      <c r="S24" s="77" t="inlineStr">
        <is>
          <t>Not Started</t>
        </is>
      </c>
      <c r="T24" s="77" t="inlineStr">
        <is>
          <t>Not Started</t>
        </is>
      </c>
      <c r="U24" s="77" t="inlineStr">
        <is>
          <t>Not Started</t>
        </is>
      </c>
      <c r="V24" s="77" t="inlineStr">
        <is>
          <t>Not Started</t>
        </is>
      </c>
      <c r="W24" s="77" t="inlineStr">
        <is>
          <t>Not Started</t>
        </is>
      </c>
      <c r="X24" s="77" t="inlineStr">
        <is>
          <t>Not Started</t>
        </is>
      </c>
      <c r="Y24" s="77" t="inlineStr">
        <is>
          <t>Not Started</t>
        </is>
      </c>
      <c r="Z24" s="77" t="inlineStr">
        <is>
          <t>Not Started</t>
        </is>
      </c>
      <c r="AA24" s="77" t="inlineStr">
        <is>
          <t>Not Started</t>
        </is>
      </c>
      <c r="AB24" s="77" t="inlineStr">
        <is>
          <t>Not Started</t>
        </is>
      </c>
      <c r="AC24" s="77" t="inlineStr">
        <is>
          <t>Not Started</t>
        </is>
      </c>
      <c r="AD24" s="77" t="inlineStr">
        <is>
          <t>Not Started</t>
        </is>
      </c>
      <c r="AE24" s="77" t="inlineStr">
        <is>
          <t>Not Started</t>
        </is>
      </c>
      <c r="AF24" s="77" t="inlineStr">
        <is>
          <t>Not Started</t>
        </is>
      </c>
      <c r="AG24" s="77" t="inlineStr">
        <is>
          <t>Not Started</t>
        </is>
      </c>
      <c r="AH24" s="77" t="inlineStr">
        <is>
          <t>Not Started</t>
        </is>
      </c>
      <c r="AI24" s="77" t="inlineStr">
        <is>
          <t>Not Started</t>
        </is>
      </c>
      <c r="AJ24" s="77" t="inlineStr">
        <is>
          <t>Not Started</t>
        </is>
      </c>
      <c r="AK24" s="77" t="inlineStr">
        <is>
          <t>Not Started</t>
        </is>
      </c>
      <c r="AL24" s="77" t="inlineStr">
        <is>
          <t>Not Started</t>
        </is>
      </c>
      <c r="AM24" s="77" t="inlineStr">
        <is>
          <t>Not Started</t>
        </is>
      </c>
      <c r="AN24" s="77" t="inlineStr">
        <is>
          <t>Not Started</t>
        </is>
      </c>
      <c r="AO24" s="77" t="inlineStr">
        <is>
          <t>Not Started</t>
        </is>
      </c>
      <c r="AP24" s="77" t="inlineStr">
        <is>
          <t>Not Started</t>
        </is>
      </c>
      <c r="AQ24" s="77" t="inlineStr">
        <is>
          <t>Not Started</t>
        </is>
      </c>
      <c r="AR24" s="77" t="inlineStr">
        <is>
          <t>Not Started</t>
        </is>
      </c>
      <c r="AS24" s="77" t="inlineStr">
        <is>
          <t>Not Started</t>
        </is>
      </c>
      <c r="AT24" s="77" t="inlineStr">
        <is>
          <t>Not Started</t>
        </is>
      </c>
      <c r="AU24" s="77" t="inlineStr">
        <is>
          <t>Not Started</t>
        </is>
      </c>
      <c r="AV24" s="77" t="inlineStr">
        <is>
          <t>Not Started</t>
        </is>
      </c>
    </row>
    <row r="25" ht="18" customHeight="1">
      <c r="A25" s="75" t="inlineStr">
        <is>
          <t>2026-021</t>
        </is>
      </c>
      <c r="B25" s="76">
        <f>IFERROR(VLOOKUP(A25,'🗄️ Transactions'!$A:$C,3,FALSE),"")</f>
        <v/>
      </c>
      <c r="C25" s="77" t="inlineStr">
        <is>
          <t>Not Started</t>
        </is>
      </c>
      <c r="D25" s="77" t="inlineStr">
        <is>
          <t>Not Started</t>
        </is>
      </c>
      <c r="E25" s="77" t="inlineStr">
        <is>
          <t>Not Started</t>
        </is>
      </c>
      <c r="F25" s="77" t="inlineStr">
        <is>
          <t>Not Started</t>
        </is>
      </c>
      <c r="G25" s="77" t="inlineStr">
        <is>
          <t>Not Started</t>
        </is>
      </c>
      <c r="H25" s="77" t="inlineStr">
        <is>
          <t>Not Started</t>
        </is>
      </c>
      <c r="I25" s="77" t="inlineStr">
        <is>
          <t>Not Started</t>
        </is>
      </c>
      <c r="J25" s="77" t="inlineStr">
        <is>
          <t>Not Started</t>
        </is>
      </c>
      <c r="K25" s="77" t="inlineStr">
        <is>
          <t>Not Started</t>
        </is>
      </c>
      <c r="L25" s="77" t="inlineStr">
        <is>
          <t>Not Started</t>
        </is>
      </c>
      <c r="M25" s="77" t="inlineStr">
        <is>
          <t>Not Started</t>
        </is>
      </c>
      <c r="N25" s="77" t="inlineStr">
        <is>
          <t>Not Started</t>
        </is>
      </c>
      <c r="O25" s="77" t="inlineStr">
        <is>
          <t>Not Started</t>
        </is>
      </c>
      <c r="P25" s="77" t="inlineStr">
        <is>
          <t>Not Started</t>
        </is>
      </c>
      <c r="Q25" s="77" t="inlineStr">
        <is>
          <t>Not Started</t>
        </is>
      </c>
      <c r="R25" s="77" t="inlineStr">
        <is>
          <t>Not Started</t>
        </is>
      </c>
      <c r="S25" s="77" t="inlineStr">
        <is>
          <t>Not Started</t>
        </is>
      </c>
      <c r="T25" s="77" t="inlineStr">
        <is>
          <t>Not Started</t>
        </is>
      </c>
      <c r="U25" s="77" t="inlineStr">
        <is>
          <t>Not Started</t>
        </is>
      </c>
      <c r="V25" s="77" t="inlineStr">
        <is>
          <t>Not Started</t>
        </is>
      </c>
      <c r="W25" s="77" t="inlineStr">
        <is>
          <t>Not Started</t>
        </is>
      </c>
      <c r="X25" s="77" t="inlineStr">
        <is>
          <t>Not Started</t>
        </is>
      </c>
      <c r="Y25" s="77" t="inlineStr">
        <is>
          <t>Not Started</t>
        </is>
      </c>
      <c r="Z25" s="77" t="inlineStr">
        <is>
          <t>Not Started</t>
        </is>
      </c>
      <c r="AA25" s="77" t="inlineStr">
        <is>
          <t>Not Started</t>
        </is>
      </c>
      <c r="AB25" s="77" t="inlineStr">
        <is>
          <t>Not Started</t>
        </is>
      </c>
      <c r="AC25" s="77" t="inlineStr">
        <is>
          <t>Not Started</t>
        </is>
      </c>
      <c r="AD25" s="77" t="inlineStr">
        <is>
          <t>Not Started</t>
        </is>
      </c>
      <c r="AE25" s="77" t="inlineStr">
        <is>
          <t>Not Started</t>
        </is>
      </c>
      <c r="AF25" s="77" t="inlineStr">
        <is>
          <t>Not Started</t>
        </is>
      </c>
      <c r="AG25" s="77" t="inlineStr">
        <is>
          <t>Not Started</t>
        </is>
      </c>
      <c r="AH25" s="77" t="inlineStr">
        <is>
          <t>Not Started</t>
        </is>
      </c>
      <c r="AI25" s="77" t="inlineStr">
        <is>
          <t>Not Started</t>
        </is>
      </c>
      <c r="AJ25" s="77" t="inlineStr">
        <is>
          <t>Not Started</t>
        </is>
      </c>
      <c r="AK25" s="77" t="inlineStr">
        <is>
          <t>Not Started</t>
        </is>
      </c>
      <c r="AL25" s="77" t="inlineStr">
        <is>
          <t>Not Started</t>
        </is>
      </c>
      <c r="AM25" s="77" t="inlineStr">
        <is>
          <t>Not Started</t>
        </is>
      </c>
      <c r="AN25" s="77" t="inlineStr">
        <is>
          <t>Not Started</t>
        </is>
      </c>
      <c r="AO25" s="77" t="inlineStr">
        <is>
          <t>Not Started</t>
        </is>
      </c>
      <c r="AP25" s="77" t="inlineStr">
        <is>
          <t>Not Started</t>
        </is>
      </c>
      <c r="AQ25" s="77" t="inlineStr">
        <is>
          <t>Not Started</t>
        </is>
      </c>
      <c r="AR25" s="77" t="inlineStr">
        <is>
          <t>Not Started</t>
        </is>
      </c>
      <c r="AS25" s="77" t="inlineStr">
        <is>
          <t>Not Started</t>
        </is>
      </c>
      <c r="AT25" s="77" t="inlineStr">
        <is>
          <t>Not Started</t>
        </is>
      </c>
      <c r="AU25" s="77" t="inlineStr">
        <is>
          <t>Not Started</t>
        </is>
      </c>
      <c r="AV25" s="77" t="inlineStr">
        <is>
          <t>Not Started</t>
        </is>
      </c>
    </row>
    <row r="26" ht="18" customHeight="1">
      <c r="A26" s="75" t="inlineStr">
        <is>
          <t>2026-022</t>
        </is>
      </c>
      <c r="B26" s="76">
        <f>IFERROR(VLOOKUP(A26,'🗄️ Transactions'!$A:$C,3,FALSE),"")</f>
        <v/>
      </c>
      <c r="C26" s="77" t="inlineStr">
        <is>
          <t>Not Started</t>
        </is>
      </c>
      <c r="D26" s="77" t="inlineStr">
        <is>
          <t>Not Started</t>
        </is>
      </c>
      <c r="E26" s="77" t="inlineStr">
        <is>
          <t>Not Started</t>
        </is>
      </c>
      <c r="F26" s="77" t="inlineStr">
        <is>
          <t>Not Started</t>
        </is>
      </c>
      <c r="G26" s="77" t="inlineStr">
        <is>
          <t>Not Started</t>
        </is>
      </c>
      <c r="H26" s="77" t="inlineStr">
        <is>
          <t>Not Started</t>
        </is>
      </c>
      <c r="I26" s="77" t="inlineStr">
        <is>
          <t>Not Started</t>
        </is>
      </c>
      <c r="J26" s="77" t="inlineStr">
        <is>
          <t>Not Started</t>
        </is>
      </c>
      <c r="K26" s="77" t="inlineStr">
        <is>
          <t>Not Started</t>
        </is>
      </c>
      <c r="L26" s="77" t="inlineStr">
        <is>
          <t>Not Started</t>
        </is>
      </c>
      <c r="M26" s="77" t="inlineStr">
        <is>
          <t>Not Started</t>
        </is>
      </c>
      <c r="N26" s="77" t="inlineStr">
        <is>
          <t>Not Started</t>
        </is>
      </c>
      <c r="O26" s="77" t="inlineStr">
        <is>
          <t>Not Started</t>
        </is>
      </c>
      <c r="P26" s="77" t="inlineStr">
        <is>
          <t>Not Started</t>
        </is>
      </c>
      <c r="Q26" s="77" t="inlineStr">
        <is>
          <t>Not Started</t>
        </is>
      </c>
      <c r="R26" s="77" t="inlineStr">
        <is>
          <t>Not Started</t>
        </is>
      </c>
      <c r="S26" s="77" t="inlineStr">
        <is>
          <t>Not Started</t>
        </is>
      </c>
      <c r="T26" s="77" t="inlineStr">
        <is>
          <t>Not Started</t>
        </is>
      </c>
      <c r="U26" s="77" t="inlineStr">
        <is>
          <t>Not Started</t>
        </is>
      </c>
      <c r="V26" s="77" t="inlineStr">
        <is>
          <t>Not Started</t>
        </is>
      </c>
      <c r="W26" s="77" t="inlineStr">
        <is>
          <t>Not Started</t>
        </is>
      </c>
      <c r="X26" s="77" t="inlineStr">
        <is>
          <t>Not Started</t>
        </is>
      </c>
      <c r="Y26" s="77" t="inlineStr">
        <is>
          <t>Not Started</t>
        </is>
      </c>
      <c r="Z26" s="77" t="inlineStr">
        <is>
          <t>Not Started</t>
        </is>
      </c>
      <c r="AA26" s="77" t="inlineStr">
        <is>
          <t>Not Started</t>
        </is>
      </c>
      <c r="AB26" s="77" t="inlineStr">
        <is>
          <t>Not Started</t>
        </is>
      </c>
      <c r="AC26" s="77" t="inlineStr">
        <is>
          <t>Not Started</t>
        </is>
      </c>
      <c r="AD26" s="77" t="inlineStr">
        <is>
          <t>Not Started</t>
        </is>
      </c>
      <c r="AE26" s="77" t="inlineStr">
        <is>
          <t>Not Started</t>
        </is>
      </c>
      <c r="AF26" s="77" t="inlineStr">
        <is>
          <t>Not Started</t>
        </is>
      </c>
      <c r="AG26" s="77" t="inlineStr">
        <is>
          <t>Not Started</t>
        </is>
      </c>
      <c r="AH26" s="77" t="inlineStr">
        <is>
          <t>Not Started</t>
        </is>
      </c>
      <c r="AI26" s="77" t="inlineStr">
        <is>
          <t>Not Started</t>
        </is>
      </c>
      <c r="AJ26" s="77" t="inlineStr">
        <is>
          <t>Not Started</t>
        </is>
      </c>
      <c r="AK26" s="77" t="inlineStr">
        <is>
          <t>Not Started</t>
        </is>
      </c>
      <c r="AL26" s="77" t="inlineStr">
        <is>
          <t>Not Started</t>
        </is>
      </c>
      <c r="AM26" s="77" t="inlineStr">
        <is>
          <t>Not Started</t>
        </is>
      </c>
      <c r="AN26" s="77" t="inlineStr">
        <is>
          <t>Not Started</t>
        </is>
      </c>
      <c r="AO26" s="77" t="inlineStr">
        <is>
          <t>Not Started</t>
        </is>
      </c>
      <c r="AP26" s="77" t="inlineStr">
        <is>
          <t>Not Started</t>
        </is>
      </c>
      <c r="AQ26" s="77" t="inlineStr">
        <is>
          <t>Not Started</t>
        </is>
      </c>
      <c r="AR26" s="77" t="inlineStr">
        <is>
          <t>Not Started</t>
        </is>
      </c>
      <c r="AS26" s="77" t="inlineStr">
        <is>
          <t>Not Started</t>
        </is>
      </c>
      <c r="AT26" s="77" t="inlineStr">
        <is>
          <t>Not Started</t>
        </is>
      </c>
      <c r="AU26" s="77" t="inlineStr">
        <is>
          <t>Not Started</t>
        </is>
      </c>
      <c r="AV26" s="77" t="inlineStr">
        <is>
          <t>Not Started</t>
        </is>
      </c>
    </row>
    <row r="27" ht="18" customHeight="1">
      <c r="A27" s="75" t="inlineStr">
        <is>
          <t>2026-023</t>
        </is>
      </c>
      <c r="B27" s="76">
        <f>IFERROR(VLOOKUP(A27,'🗄️ Transactions'!$A:$C,3,FALSE),"")</f>
        <v/>
      </c>
      <c r="C27" s="77" t="inlineStr">
        <is>
          <t>Not Started</t>
        </is>
      </c>
      <c r="D27" s="77" t="inlineStr">
        <is>
          <t>Not Started</t>
        </is>
      </c>
      <c r="E27" s="77" t="inlineStr">
        <is>
          <t>Not Started</t>
        </is>
      </c>
      <c r="F27" s="77" t="inlineStr">
        <is>
          <t>Not Started</t>
        </is>
      </c>
      <c r="G27" s="77" t="inlineStr">
        <is>
          <t>Not Started</t>
        </is>
      </c>
      <c r="H27" s="77" t="inlineStr">
        <is>
          <t>Not Started</t>
        </is>
      </c>
      <c r="I27" s="77" t="inlineStr">
        <is>
          <t>Not Started</t>
        </is>
      </c>
      <c r="J27" s="77" t="inlineStr">
        <is>
          <t>Not Started</t>
        </is>
      </c>
      <c r="K27" s="77" t="inlineStr">
        <is>
          <t>Not Started</t>
        </is>
      </c>
      <c r="L27" s="77" t="inlineStr">
        <is>
          <t>Not Started</t>
        </is>
      </c>
      <c r="M27" s="77" t="inlineStr">
        <is>
          <t>Not Started</t>
        </is>
      </c>
      <c r="N27" s="77" t="inlineStr">
        <is>
          <t>Not Started</t>
        </is>
      </c>
      <c r="O27" s="77" t="inlineStr">
        <is>
          <t>Not Started</t>
        </is>
      </c>
      <c r="P27" s="77" t="inlineStr">
        <is>
          <t>Not Started</t>
        </is>
      </c>
      <c r="Q27" s="77" t="inlineStr">
        <is>
          <t>Not Started</t>
        </is>
      </c>
      <c r="R27" s="77" t="inlineStr">
        <is>
          <t>Not Started</t>
        </is>
      </c>
      <c r="S27" s="77" t="inlineStr">
        <is>
          <t>Not Started</t>
        </is>
      </c>
      <c r="T27" s="77" t="inlineStr">
        <is>
          <t>Not Started</t>
        </is>
      </c>
      <c r="U27" s="77" t="inlineStr">
        <is>
          <t>Not Started</t>
        </is>
      </c>
      <c r="V27" s="77" t="inlineStr">
        <is>
          <t>Not Started</t>
        </is>
      </c>
      <c r="W27" s="77" t="inlineStr">
        <is>
          <t>Not Started</t>
        </is>
      </c>
      <c r="X27" s="77" t="inlineStr">
        <is>
          <t>Not Started</t>
        </is>
      </c>
      <c r="Y27" s="77" t="inlineStr">
        <is>
          <t>Not Started</t>
        </is>
      </c>
      <c r="Z27" s="77" t="inlineStr">
        <is>
          <t>Not Started</t>
        </is>
      </c>
      <c r="AA27" s="77" t="inlineStr">
        <is>
          <t>Not Started</t>
        </is>
      </c>
      <c r="AB27" s="77" t="inlineStr">
        <is>
          <t>Not Started</t>
        </is>
      </c>
      <c r="AC27" s="77" t="inlineStr">
        <is>
          <t>Not Started</t>
        </is>
      </c>
      <c r="AD27" s="77" t="inlineStr">
        <is>
          <t>Not Started</t>
        </is>
      </c>
      <c r="AE27" s="77" t="inlineStr">
        <is>
          <t>Not Started</t>
        </is>
      </c>
      <c r="AF27" s="77" t="inlineStr">
        <is>
          <t>Not Started</t>
        </is>
      </c>
      <c r="AG27" s="77" t="inlineStr">
        <is>
          <t>Not Started</t>
        </is>
      </c>
      <c r="AH27" s="77" t="inlineStr">
        <is>
          <t>Not Started</t>
        </is>
      </c>
      <c r="AI27" s="77" t="inlineStr">
        <is>
          <t>Not Started</t>
        </is>
      </c>
      <c r="AJ27" s="77" t="inlineStr">
        <is>
          <t>Not Started</t>
        </is>
      </c>
      <c r="AK27" s="77" t="inlineStr">
        <is>
          <t>Not Started</t>
        </is>
      </c>
      <c r="AL27" s="77" t="inlineStr">
        <is>
          <t>Not Started</t>
        </is>
      </c>
      <c r="AM27" s="77" t="inlineStr">
        <is>
          <t>Not Started</t>
        </is>
      </c>
      <c r="AN27" s="77" t="inlineStr">
        <is>
          <t>Not Started</t>
        </is>
      </c>
      <c r="AO27" s="77" t="inlineStr">
        <is>
          <t>Not Started</t>
        </is>
      </c>
      <c r="AP27" s="77" t="inlineStr">
        <is>
          <t>Not Started</t>
        </is>
      </c>
      <c r="AQ27" s="77" t="inlineStr">
        <is>
          <t>Not Started</t>
        </is>
      </c>
      <c r="AR27" s="77" t="inlineStr">
        <is>
          <t>Not Started</t>
        </is>
      </c>
      <c r="AS27" s="77" t="inlineStr">
        <is>
          <t>Not Started</t>
        </is>
      </c>
      <c r="AT27" s="77" t="inlineStr">
        <is>
          <t>Not Started</t>
        </is>
      </c>
      <c r="AU27" s="77" t="inlineStr">
        <is>
          <t>Not Started</t>
        </is>
      </c>
      <c r="AV27" s="77" t="inlineStr">
        <is>
          <t>Not Started</t>
        </is>
      </c>
    </row>
    <row r="28" ht="18" customHeight="1">
      <c r="A28" s="75" t="inlineStr">
        <is>
          <t>2026-024</t>
        </is>
      </c>
      <c r="B28" s="76">
        <f>IFERROR(VLOOKUP(A28,'🗄️ Transactions'!$A:$C,3,FALSE),"")</f>
        <v/>
      </c>
      <c r="C28" s="77" t="inlineStr">
        <is>
          <t>Not Started</t>
        </is>
      </c>
      <c r="D28" s="77" t="inlineStr">
        <is>
          <t>Not Started</t>
        </is>
      </c>
      <c r="E28" s="77" t="inlineStr">
        <is>
          <t>Not Started</t>
        </is>
      </c>
      <c r="F28" s="77" t="inlineStr">
        <is>
          <t>Not Started</t>
        </is>
      </c>
      <c r="G28" s="77" t="inlineStr">
        <is>
          <t>Not Started</t>
        </is>
      </c>
      <c r="H28" s="77" t="inlineStr">
        <is>
          <t>Not Started</t>
        </is>
      </c>
      <c r="I28" s="77" t="inlineStr">
        <is>
          <t>Not Started</t>
        </is>
      </c>
      <c r="J28" s="77" t="inlineStr">
        <is>
          <t>Not Started</t>
        </is>
      </c>
      <c r="K28" s="77" t="inlineStr">
        <is>
          <t>Not Started</t>
        </is>
      </c>
      <c r="L28" s="77" t="inlineStr">
        <is>
          <t>Not Started</t>
        </is>
      </c>
      <c r="M28" s="77" t="inlineStr">
        <is>
          <t>Not Started</t>
        </is>
      </c>
      <c r="N28" s="77" t="inlineStr">
        <is>
          <t>Not Started</t>
        </is>
      </c>
      <c r="O28" s="77" t="inlineStr">
        <is>
          <t>Not Started</t>
        </is>
      </c>
      <c r="P28" s="77" t="inlineStr">
        <is>
          <t>Not Started</t>
        </is>
      </c>
      <c r="Q28" s="77" t="inlineStr">
        <is>
          <t>Not Started</t>
        </is>
      </c>
      <c r="R28" s="77" t="inlineStr">
        <is>
          <t>Not Started</t>
        </is>
      </c>
      <c r="S28" s="77" t="inlineStr">
        <is>
          <t>Not Started</t>
        </is>
      </c>
      <c r="T28" s="77" t="inlineStr">
        <is>
          <t>Not Started</t>
        </is>
      </c>
      <c r="U28" s="77" t="inlineStr">
        <is>
          <t>Not Started</t>
        </is>
      </c>
      <c r="V28" s="77" t="inlineStr">
        <is>
          <t>Not Started</t>
        </is>
      </c>
      <c r="W28" s="77" t="inlineStr">
        <is>
          <t>Not Started</t>
        </is>
      </c>
      <c r="X28" s="77" t="inlineStr">
        <is>
          <t>Not Started</t>
        </is>
      </c>
      <c r="Y28" s="77" t="inlineStr">
        <is>
          <t>Not Started</t>
        </is>
      </c>
      <c r="Z28" s="77" t="inlineStr">
        <is>
          <t>Not Started</t>
        </is>
      </c>
      <c r="AA28" s="77" t="inlineStr">
        <is>
          <t>Not Started</t>
        </is>
      </c>
      <c r="AB28" s="77" t="inlineStr">
        <is>
          <t>Not Started</t>
        </is>
      </c>
      <c r="AC28" s="77" t="inlineStr">
        <is>
          <t>Not Started</t>
        </is>
      </c>
      <c r="AD28" s="77" t="inlineStr">
        <is>
          <t>Not Started</t>
        </is>
      </c>
      <c r="AE28" s="77" t="inlineStr">
        <is>
          <t>Not Started</t>
        </is>
      </c>
      <c r="AF28" s="77" t="inlineStr">
        <is>
          <t>Not Started</t>
        </is>
      </c>
      <c r="AG28" s="77" t="inlineStr">
        <is>
          <t>Not Started</t>
        </is>
      </c>
      <c r="AH28" s="77" t="inlineStr">
        <is>
          <t>Not Started</t>
        </is>
      </c>
      <c r="AI28" s="77" t="inlineStr">
        <is>
          <t>Not Started</t>
        </is>
      </c>
      <c r="AJ28" s="77" t="inlineStr">
        <is>
          <t>Not Started</t>
        </is>
      </c>
      <c r="AK28" s="77" t="inlineStr">
        <is>
          <t>Not Started</t>
        </is>
      </c>
      <c r="AL28" s="77" t="inlineStr">
        <is>
          <t>Not Started</t>
        </is>
      </c>
      <c r="AM28" s="77" t="inlineStr">
        <is>
          <t>Not Started</t>
        </is>
      </c>
      <c r="AN28" s="77" t="inlineStr">
        <is>
          <t>Not Started</t>
        </is>
      </c>
      <c r="AO28" s="77" t="inlineStr">
        <is>
          <t>Not Started</t>
        </is>
      </c>
      <c r="AP28" s="77" t="inlineStr">
        <is>
          <t>Not Started</t>
        </is>
      </c>
      <c r="AQ28" s="77" t="inlineStr">
        <is>
          <t>Not Started</t>
        </is>
      </c>
      <c r="AR28" s="77" t="inlineStr">
        <is>
          <t>Not Started</t>
        </is>
      </c>
      <c r="AS28" s="77" t="inlineStr">
        <is>
          <t>Not Started</t>
        </is>
      </c>
      <c r="AT28" s="77" t="inlineStr">
        <is>
          <t>Not Started</t>
        </is>
      </c>
      <c r="AU28" s="77" t="inlineStr">
        <is>
          <t>Not Started</t>
        </is>
      </c>
      <c r="AV28" s="77" t="inlineStr">
        <is>
          <t>Not Started</t>
        </is>
      </c>
    </row>
  </sheetData>
  <sheetProtection selectLockedCells="1" selectUnlockedCells="1" sheet="1" objects="0" insertRows="1" insertHyperlinks="0" autoFilter="1" scenarios="0" formatColumns="0" deleteColumns="0" insertColumns="0" pivotTables="1" deleteRows="1" formatCells="0" formatRows="0" sort="1" password="CB13"/>
  <mergeCells count="7">
    <mergeCell ref="S3:AC3"/>
    <mergeCell ref="AK3:AO3"/>
    <mergeCell ref="A1:AV1"/>
    <mergeCell ref="C3:R3"/>
    <mergeCell ref="AD3:AJ3"/>
    <mergeCell ref="AP3:AV3"/>
    <mergeCell ref="A2:AV2"/>
  </mergeCells>
  <conditionalFormatting sqref="C5:AV200">
    <cfRule type="expression" priority="1" dxfId="1">
      <formula>=C5="Complete"</formula>
    </cfRule>
    <cfRule type="expression" priority="2" dxfId="4">
      <formula>=C5="N/A"</formula>
    </cfRule>
    <cfRule type="expression" priority="3" dxfId="3">
      <formula>=C5="In Progress"</formula>
    </cfRule>
    <cfRule type="expression" priority="4" dxfId="5">
      <formula>=C5="Waiting"</formula>
    </cfRule>
  </conditionalFormatting>
  <dataValidations count="1">
    <dataValidation sqref="C5:AV200" showDropDown="0" showInputMessage="1" showErrorMessage="1" allowBlank="1" errorTitle="Invalid Status" error="Choose: Not Started, In Progress, Waiting, Complete, or N/A" promptTitle="Select Status" prompt="Choose the status for this checklist item." type="list">
      <formula1>"Not Started,In Progress,Waiting,Complete,N/A"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4000"/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30" customWidth="1" min="3" max="3"/>
    <col width="25" customWidth="1" min="4" max="4"/>
    <col width="3" customWidth="1" min="5" max="5"/>
  </cols>
  <sheetData>
    <row r="1" ht="32" customHeight="1">
      <c r="A1" s="28" t="inlineStr">
        <is>
          <t>👤  AGENT DIRECTORY  —  Add new agents at the bottom</t>
        </is>
      </c>
    </row>
    <row r="2" ht="18" customHeight="1">
      <c r="A2" s="78" t="inlineStr">
        <is>
          <t>⚠️  DO NOT delete rows or rearrange columns.  Add new agents in the YELLOW rows below.</t>
        </is>
      </c>
    </row>
    <row r="3" ht="20" customHeight="1">
      <c r="A3" s="79" t="inlineStr">
        <is>
          <t>#</t>
        </is>
      </c>
      <c r="B3" s="79" t="inlineStr">
        <is>
          <t>AgentID</t>
        </is>
      </c>
      <c r="C3" s="79" t="inlineStr">
        <is>
          <t>AgentName</t>
        </is>
      </c>
      <c r="D3" s="79" t="inlineStr">
        <is>
          <t>Office</t>
        </is>
      </c>
    </row>
    <row r="4" ht="18" customHeight="1">
      <c r="A4" s="80" t="n">
        <v>1</v>
      </c>
      <c r="B4" s="75" t="inlineStr">
        <is>
          <t>PH</t>
        </is>
      </c>
      <c r="C4" s="81" t="inlineStr">
        <is>
          <t>Pulte Homes</t>
        </is>
      </c>
      <c r="D4" s="81" t="inlineStr">
        <is>
          <t>Pulte Homes</t>
        </is>
      </c>
    </row>
    <row r="5" ht="18" customHeight="1">
      <c r="A5" s="80" t="n">
        <v>2</v>
      </c>
      <c r="B5" s="75" t="inlineStr">
        <is>
          <t>BL</t>
        </is>
      </c>
      <c r="C5" s="82" t="inlineStr">
        <is>
          <t>Barb Lesure</t>
        </is>
      </c>
      <c r="D5" s="82" t="inlineStr">
        <is>
          <t>HH</t>
        </is>
      </c>
    </row>
    <row r="6" ht="18" customHeight="1">
      <c r="A6" s="80" t="n">
        <v>3</v>
      </c>
      <c r="B6" s="75" t="inlineStr">
        <is>
          <t>IC</t>
        </is>
      </c>
      <c r="C6" s="81" t="inlineStr">
        <is>
          <t>Ivana Carson</t>
        </is>
      </c>
      <c r="D6" s="81" t="inlineStr">
        <is>
          <t>Keller</t>
        </is>
      </c>
    </row>
    <row r="7" ht="18" customHeight="1">
      <c r="A7" s="80" t="n">
        <v>4</v>
      </c>
      <c r="B7" s="75" t="inlineStr">
        <is>
          <t>RE</t>
        </is>
      </c>
      <c r="C7" s="82" t="inlineStr">
        <is>
          <t>Rachel Eastwood</t>
        </is>
      </c>
      <c r="D7" s="82" t="inlineStr">
        <is>
          <t>HH</t>
        </is>
      </c>
    </row>
    <row r="8" ht="18" customHeight="1">
      <c r="A8" s="80" t="n">
        <v>5</v>
      </c>
      <c r="B8" s="75" t="inlineStr">
        <is>
          <t>EY</t>
        </is>
      </c>
      <c r="C8" s="81" t="inlineStr">
        <is>
          <t>Eric Yetzer</t>
        </is>
      </c>
      <c r="D8" s="81" t="inlineStr">
        <is>
          <t>HH</t>
        </is>
      </c>
    </row>
    <row r="9" ht="18" customHeight="1">
      <c r="A9" s="80" t="n">
        <v>6</v>
      </c>
      <c r="B9" s="75" t="inlineStr">
        <is>
          <t>KA</t>
        </is>
      </c>
      <c r="C9" s="82" t="inlineStr">
        <is>
          <t>Karen/Milka</t>
        </is>
      </c>
      <c r="D9" s="82" t="inlineStr">
        <is>
          <t>HH</t>
        </is>
      </c>
    </row>
    <row r="10" ht="18" customHeight="1">
      <c r="A10" s="80" t="n">
        <v>7</v>
      </c>
      <c r="B10" s="75" t="inlineStr">
        <is>
          <t>KE</t>
        </is>
      </c>
      <c r="C10" s="81" t="inlineStr">
        <is>
          <t>Kelly/Heidi</t>
        </is>
      </c>
      <c r="D10" s="81" t="inlineStr">
        <is>
          <t>HH</t>
        </is>
      </c>
    </row>
    <row r="11" ht="18" customHeight="1">
      <c r="A11" s="80" t="n">
        <v>8</v>
      </c>
      <c r="B11" s="75" t="inlineStr">
        <is>
          <t>MK</t>
        </is>
      </c>
      <c r="C11" s="82" t="inlineStr">
        <is>
          <t>Matthew Kalogeras</t>
        </is>
      </c>
      <c r="D11" s="82" t="inlineStr">
        <is>
          <t>Trelora</t>
        </is>
      </c>
    </row>
    <row r="12" ht="18" customHeight="1">
      <c r="A12" s="80" t="n">
        <v>9</v>
      </c>
      <c r="B12" s="75" t="inlineStr">
        <is>
          <t>KA</t>
        </is>
      </c>
      <c r="C12" s="81" t="inlineStr">
        <is>
          <t>Karen/Annette</t>
        </is>
      </c>
      <c r="D12" s="81" t="inlineStr">
        <is>
          <t>HH</t>
        </is>
      </c>
    </row>
    <row r="13" ht="18" customHeight="1">
      <c r="A13" s="80" t="n">
        <v>10</v>
      </c>
      <c r="B13" s="75" t="inlineStr">
        <is>
          <t>MM</t>
        </is>
      </c>
      <c r="C13" s="82" t="inlineStr">
        <is>
          <t>Mark Metz</t>
        </is>
      </c>
      <c r="D13" s="82" t="inlineStr">
        <is>
          <t>Keller</t>
        </is>
      </c>
    </row>
    <row r="14" ht="18" customHeight="1">
      <c r="A14" s="80" t="n">
        <v>11</v>
      </c>
      <c r="B14" s="75" t="inlineStr">
        <is>
          <t>RT</t>
        </is>
      </c>
      <c r="C14" s="81" t="inlineStr">
        <is>
          <t>Rebbecca Tessanne</t>
        </is>
      </c>
      <c r="D14" s="81" t="inlineStr">
        <is>
          <t>HH</t>
        </is>
      </c>
    </row>
    <row r="15" ht="18" customHeight="1">
      <c r="A15" s="80" t="n">
        <v>12</v>
      </c>
      <c r="B15" s="75" t="inlineStr">
        <is>
          <t>RH</t>
        </is>
      </c>
      <c r="C15" s="82" t="inlineStr">
        <is>
          <t>Ron Ho</t>
        </is>
      </c>
      <c r="D15" s="82" t="inlineStr">
        <is>
          <t>HH</t>
        </is>
      </c>
    </row>
    <row r="16" ht="18" customHeight="1">
      <c r="A16" s="80" t="n">
        <v>13</v>
      </c>
      <c r="B16" s="75" t="inlineStr">
        <is>
          <t>VB</t>
        </is>
      </c>
      <c r="C16" s="81" t="inlineStr">
        <is>
          <t>Vicky &amp; Beth</t>
        </is>
      </c>
      <c r="D16" s="81" t="inlineStr">
        <is>
          <t>HH</t>
        </is>
      </c>
    </row>
    <row r="17" ht="18" customHeight="1">
      <c r="A17" s="80" t="n">
        <v>14</v>
      </c>
      <c r="B17" s="75" t="inlineStr">
        <is>
          <t>LH</t>
        </is>
      </c>
      <c r="C17" s="82" t="inlineStr">
        <is>
          <t>Lenny Herbert</t>
        </is>
      </c>
      <c r="D17" s="82" t="inlineStr">
        <is>
          <t>Remax</t>
        </is>
      </c>
    </row>
    <row r="18" ht="18" customHeight="1">
      <c r="A18" s="80" t="n">
        <v>15</v>
      </c>
      <c r="B18" s="75" t="inlineStr">
        <is>
          <t>V(</t>
        </is>
      </c>
      <c r="C18" s="81" t="inlineStr">
        <is>
          <t>Vicky &amp; Beth (Shelly)</t>
        </is>
      </c>
      <c r="D18" s="81" t="inlineStr">
        <is>
          <t>HH</t>
        </is>
      </c>
    </row>
    <row r="19" ht="18" customHeight="1">
      <c r="A19" s="80" t="n">
        <v>16</v>
      </c>
      <c r="B19" s="75" t="inlineStr">
        <is>
          <t>DF</t>
        </is>
      </c>
      <c r="C19" s="82" t="inlineStr">
        <is>
          <t>Debbie Ferrante</t>
        </is>
      </c>
      <c r="D19" s="82" t="inlineStr">
        <is>
          <t>Remax</t>
        </is>
      </c>
    </row>
    <row r="20" ht="18" customHeight="1">
      <c r="A20" s="80" t="n">
        <v>17</v>
      </c>
      <c r="B20" s="75" t="inlineStr">
        <is>
          <t>JH</t>
        </is>
      </c>
      <c r="C20" s="81" t="inlineStr">
        <is>
          <t>Jennifer Ham</t>
        </is>
      </c>
      <c r="D20" s="81" t="inlineStr">
        <is>
          <t>BHHS Stouffer</t>
        </is>
      </c>
    </row>
    <row r="21" ht="18" customHeight="1">
      <c r="A21" s="80" t="n">
        <v>18</v>
      </c>
      <c r="B21" s="75" t="inlineStr">
        <is>
          <t>KW</t>
        </is>
      </c>
      <c r="C21" s="82" t="inlineStr">
        <is>
          <t>Kelly Watts</t>
        </is>
      </c>
      <c r="D21" s="82" t="inlineStr">
        <is>
          <t>HH</t>
        </is>
      </c>
    </row>
    <row r="22" ht="18" customHeight="1">
      <c r="A22" s="80" t="n">
        <v>19</v>
      </c>
      <c r="B22" s="75" t="inlineStr">
        <is>
          <t>AF</t>
        </is>
      </c>
      <c r="C22" s="81" t="inlineStr">
        <is>
          <t>Amy Frary</t>
        </is>
      </c>
      <c r="D22" s="81" t="inlineStr">
        <is>
          <t>HH</t>
        </is>
      </c>
    </row>
    <row r="23" ht="18" customHeight="1">
      <c r="A23" s="80" t="n">
        <v>20</v>
      </c>
      <c r="B23" s="75" t="inlineStr">
        <is>
          <t>KH</t>
        </is>
      </c>
      <c r="C23" s="82" t="inlineStr">
        <is>
          <t>Katrina Heath</t>
        </is>
      </c>
      <c r="D23" s="82" t="inlineStr">
        <is>
          <t>McDowell</t>
        </is>
      </c>
    </row>
    <row r="24" ht="18" customHeight="1">
      <c r="A24" s="80" t="n">
        <v>21</v>
      </c>
      <c r="B24" s="75" t="inlineStr">
        <is>
          <t>AJ</t>
        </is>
      </c>
      <c r="C24" s="81" t="inlineStr">
        <is>
          <t>Andrew Jenkins</t>
        </is>
      </c>
      <c r="D24" s="81" t="inlineStr">
        <is>
          <t>Keller</t>
        </is>
      </c>
    </row>
    <row r="25" ht="18" customHeight="1">
      <c r="A25" s="80" t="n">
        <v>22</v>
      </c>
      <c r="B25" s="75" t="inlineStr">
        <is>
          <t>JL</t>
        </is>
      </c>
      <c r="C25" s="82" t="inlineStr">
        <is>
          <t>Jerry Lesac</t>
        </is>
      </c>
      <c r="D25" s="82" t="inlineStr">
        <is>
          <t>McDowell</t>
        </is>
      </c>
    </row>
    <row r="26" ht="18" customHeight="1">
      <c r="A26" s="80" t="n">
        <v>23</v>
      </c>
      <c r="B26" s="75" t="inlineStr">
        <is>
          <t>TV</t>
        </is>
      </c>
      <c r="C26" s="81" t="inlineStr">
        <is>
          <t>Tim Vanderlaan</t>
        </is>
      </c>
      <c r="D26" s="81" t="inlineStr">
        <is>
          <t>EXP</t>
        </is>
      </c>
    </row>
    <row r="27" ht="18" customHeight="1">
      <c r="A27" s="80" t="n">
        <v>24</v>
      </c>
      <c r="B27" s="75" t="inlineStr">
        <is>
          <t>OB</t>
        </is>
      </c>
      <c r="C27" s="82" t="inlineStr">
        <is>
          <t>Oleg Bosovic</t>
        </is>
      </c>
      <c r="D27" s="82" t="inlineStr">
        <is>
          <t>Keller</t>
        </is>
      </c>
    </row>
    <row r="28" ht="18" customHeight="1">
      <c r="A28" s="80" t="n">
        <v>25</v>
      </c>
      <c r="B28" s="75" t="inlineStr">
        <is>
          <t>SB</t>
        </is>
      </c>
      <c r="C28" s="81" t="inlineStr">
        <is>
          <t>Shelly Booth</t>
        </is>
      </c>
      <c r="D28" s="81" t="inlineStr">
        <is>
          <t>Coldwell</t>
        </is>
      </c>
    </row>
    <row r="29" ht="18" customHeight="1">
      <c r="A29" s="80" t="n">
        <v>26</v>
      </c>
      <c r="B29" s="75" t="inlineStr">
        <is>
          <t>AM</t>
        </is>
      </c>
      <c r="C29" s="82" t="inlineStr">
        <is>
          <t>Autumn Moore</t>
        </is>
      </c>
      <c r="D29" s="82" t="inlineStr">
        <is>
          <t>Keller</t>
        </is>
      </c>
    </row>
    <row r="30" ht="18" customHeight="1">
      <c r="A30" s="80" t="n">
        <v>27</v>
      </c>
      <c r="B30" s="75" t="inlineStr">
        <is>
          <t>BL</t>
        </is>
      </c>
      <c r="C30" s="81" t="inlineStr">
        <is>
          <t>Brian Leatherman</t>
        </is>
      </c>
      <c r="D30" s="81" t="inlineStr">
        <is>
          <t>Milton</t>
        </is>
      </c>
    </row>
    <row r="31" ht="18" customHeight="1">
      <c r="A31" s="80" t="n">
        <v>28</v>
      </c>
      <c r="B31" s="75" t="inlineStr">
        <is>
          <t>CM</t>
        </is>
      </c>
      <c r="C31" s="82" t="inlineStr">
        <is>
          <t>Cindy McCory</t>
        </is>
      </c>
      <c r="D31" s="82" t="inlineStr">
        <is>
          <t>Remax</t>
        </is>
      </c>
    </row>
    <row r="32" ht="18" customHeight="1">
      <c r="A32" s="80" t="n">
        <v>29</v>
      </c>
      <c r="B32" s="75" t="inlineStr">
        <is>
          <t>LW</t>
        </is>
      </c>
      <c r="C32" s="81" t="inlineStr">
        <is>
          <t>Lila Wohlwend</t>
        </is>
      </c>
      <c r="D32" s="81" t="inlineStr">
        <is>
          <t>Clear Sky</t>
        </is>
      </c>
    </row>
    <row r="33" ht="18" customHeight="1">
      <c r="A33" s="80" t="n">
        <v>30</v>
      </c>
      <c r="B33" s="75" t="inlineStr">
        <is>
          <t>AM</t>
        </is>
      </c>
      <c r="C33" s="82" t="inlineStr">
        <is>
          <t>Amy Marinello</t>
        </is>
      </c>
      <c r="D33" s="82" t="inlineStr">
        <is>
          <t>BHHS</t>
        </is>
      </c>
    </row>
    <row r="34" ht="18" customHeight="1">
      <c r="A34" s="80" t="n">
        <v>31</v>
      </c>
      <c r="B34" s="75" t="inlineStr">
        <is>
          <t>MS</t>
        </is>
      </c>
      <c r="C34" s="81" t="inlineStr">
        <is>
          <t>Melissa Steiner</t>
        </is>
      </c>
      <c r="D34" s="81" t="inlineStr">
        <is>
          <t>Keller</t>
        </is>
      </c>
    </row>
    <row r="35" ht="18" customHeight="1">
      <c r="A35" s="80" t="n">
        <v>32</v>
      </c>
      <c r="B35" s="75" t="inlineStr">
        <is>
          <t>DS</t>
        </is>
      </c>
      <c r="C35" s="82" t="inlineStr">
        <is>
          <t>Deb Shreiner</t>
        </is>
      </c>
      <c r="D35" s="82" t="inlineStr">
        <is>
          <t>Helen Scott</t>
        </is>
      </c>
    </row>
    <row r="36" ht="18" customHeight="1">
      <c r="A36" s="80" t="n">
        <v>33</v>
      </c>
      <c r="B36" s="75" t="inlineStr">
        <is>
          <t>BV</t>
        </is>
      </c>
      <c r="C36" s="81" t="inlineStr">
        <is>
          <t>Brenda Verbeka</t>
        </is>
      </c>
      <c r="D36" s="81" t="inlineStr">
        <is>
          <t>HH Medina</t>
        </is>
      </c>
    </row>
    <row r="37" ht="18" customHeight="1">
      <c r="A37" s="80" t="n">
        <v>34</v>
      </c>
      <c r="B37" s="75" t="inlineStr">
        <is>
          <t>CC</t>
        </is>
      </c>
      <c r="C37" s="83" t="inlineStr">
        <is>
          <t>Christine Conkle</t>
        </is>
      </c>
      <c r="D37" s="83" t="inlineStr">
        <is>
          <t>ReMax Edge</t>
        </is>
      </c>
    </row>
    <row r="38" ht="18" customHeight="1">
      <c r="A38" s="80" t="n">
        <v>35</v>
      </c>
      <c r="B38" s="75" t="inlineStr">
        <is>
          <t>SH</t>
        </is>
      </c>
      <c r="C38" s="83" t="inlineStr">
        <is>
          <t>Sonja Halstead</t>
        </is>
      </c>
      <c r="D38" s="83" t="inlineStr">
        <is>
          <t>Keller Williams</t>
        </is>
      </c>
    </row>
    <row r="39" ht="18" customHeight="1">
      <c r="A39" s="84" t="inlineStr">
        <is>
          <t>36</t>
        </is>
      </c>
      <c r="C39" s="85" t="n"/>
      <c r="D39" s="85" t="n"/>
    </row>
    <row r="40" ht="18" customHeight="1">
      <c r="A40" s="84" t="inlineStr">
        <is>
          <t>37</t>
        </is>
      </c>
      <c r="C40" s="85" t="n"/>
      <c r="D40" s="85" t="n"/>
    </row>
    <row r="41" ht="18" customHeight="1">
      <c r="A41" s="84" t="inlineStr">
        <is>
          <t>38</t>
        </is>
      </c>
      <c r="C41" s="85" t="n"/>
      <c r="D41" s="85" t="n"/>
    </row>
    <row r="42" ht="18" customHeight="1">
      <c r="A42" s="84" t="inlineStr">
        <is>
          <t>39</t>
        </is>
      </c>
      <c r="C42" s="85" t="n"/>
      <c r="D42" s="85" t="n"/>
    </row>
    <row r="43" ht="18" customHeight="1">
      <c r="A43" s="84" t="inlineStr">
        <is>
          <t>40</t>
        </is>
      </c>
      <c r="C43" s="85" t="n"/>
      <c r="D43" s="85" t="n"/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375E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  <col width="20" customWidth="1" min="4" max="4"/>
  </cols>
  <sheetData>
    <row r="1" ht="40" customHeight="1">
      <c r="A1" s="1" t="inlineStr">
        <is>
          <t>📋  HH REALTY TRANSACTION TRACKER  —  How To Use This File</t>
        </is>
      </c>
    </row>
    <row r="2" ht="22" customHeight="1">
      <c r="A2" s="2" t="inlineStr">
        <is>
          <t>Designed for daily use by HH Realty staff  ·  Keep this file saved on the network drive</t>
        </is>
      </c>
    </row>
    <row r="4" ht="22" customHeight="1">
      <c r="B4" s="86" t="inlineStr">
        <is>
          <t>COLOR GUIDE — What the cell colors mean</t>
        </is>
      </c>
    </row>
    <row r="5" ht="20" customHeight="1">
      <c r="B5" s="87" t="inlineStr">
        <is>
          <t>🟡  YELLOW cell</t>
        </is>
      </c>
      <c r="C5" s="88" t="inlineStr">
        <is>
          <t>TYPE HERE — these are your entry fields</t>
        </is>
      </c>
    </row>
    <row r="6" ht="20" customHeight="1">
      <c r="B6" s="89" t="inlineStr">
        <is>
          <t>🔵  BLUE cell</t>
        </is>
      </c>
      <c r="C6" s="88" t="inlineStr">
        <is>
          <t>AUTO-CALCULATED — do not type here, formula fills it in</t>
        </is>
      </c>
    </row>
    <row r="7" ht="20" customHeight="1">
      <c r="B7" s="90" t="inlineStr">
        <is>
          <t>⚪  GREY cell</t>
        </is>
      </c>
      <c r="C7" s="88" t="inlineStr">
        <is>
          <t>LOCKED — system field, cannot be edited</t>
        </is>
      </c>
    </row>
    <row r="8" ht="20" customHeight="1">
      <c r="B8" s="91" t="inlineStr">
        <is>
          <t>🟢  GREEN (Dashboard)</t>
        </is>
      </c>
      <c r="C8" s="88" t="inlineStr">
        <is>
          <t>Key performance number, updates automatically</t>
        </is>
      </c>
    </row>
    <row r="9" ht="20" customHeight="1">
      <c r="B9" s="92" t="inlineStr">
        <is>
          <t>🔴  RED (Dashboard)</t>
        </is>
      </c>
      <c r="C9" s="88" t="inlineStr">
        <is>
          <t>Warning — needs attention</t>
        </is>
      </c>
    </row>
    <row r="11" ht="22" customHeight="1">
      <c r="B11" s="86" t="inlineStr">
        <is>
          <t>STEP-BY-STEP GUIDE</t>
        </is>
      </c>
    </row>
    <row r="12" ht="20" customHeight="1">
      <c r="B12" s="93" t="inlineStr">
        <is>
          <t>STEP 1 — Add a New Transaction</t>
        </is>
      </c>
    </row>
    <row r="13" ht="45" customHeight="1">
      <c r="B13" s="94" t="inlineStr">
        <is>
          <t>Go to the '🏠 INPUT' sheet. Fill in every YELLOW cell. Required fields are marked with ★. Click the 'Add Transaction' button when done. The row will appear in '🗄️ TRANSACTIONS'.</t>
        </is>
      </c>
    </row>
    <row r="15" ht="20" customHeight="1">
      <c r="B15" s="93" t="inlineStr">
        <is>
          <t>STEP 2 — Update Checklist Items</t>
        </is>
      </c>
    </row>
    <row r="16" ht="45" customHeight="1">
      <c r="B16" s="94" t="inlineStr">
        <is>
          <t>Go to '✅ CHECKLIST'. Find the row for your transaction (search by address). Use the dropdown in each column to mark items as: Complete, In Progress, Waiting, N/A, or Not Started.</t>
        </is>
      </c>
    </row>
    <row r="18" ht="20" customHeight="1">
      <c r="B18" s="93" t="inlineStr">
        <is>
          <t>STEP 3 — Edit a Transaction</t>
        </is>
      </c>
    </row>
    <row r="19" ht="45" customHeight="1">
      <c r="B19" s="94" t="inlineStr">
        <is>
          <t>Go to '🗄️ TRANSACTIONS'. Find the row and click any YELLOW cell to edit. BLUE and GREY cells update automatically — do not type in them.</t>
        </is>
      </c>
    </row>
    <row r="21" ht="20" customHeight="1">
      <c r="B21" s="93" t="inlineStr">
        <is>
          <t>STEP 4 — View the Dashboard</t>
        </is>
      </c>
    </row>
    <row r="22" ht="45" customHeight="1">
      <c r="B22" s="94" t="inlineStr">
        <is>
          <t>Go to '📊 Dashboard'. It updates automatically every time you open the file. No need to press any buttons or refresh.</t>
        </is>
      </c>
    </row>
    <row r="24" ht="20" customHeight="1">
      <c r="B24" s="93" t="inlineStr">
        <is>
          <t>STEP 5 — Add a New Agent</t>
        </is>
      </c>
    </row>
    <row r="25" ht="45" customHeight="1">
      <c r="B25" s="94" t="inlineStr">
        <is>
          <t>Go to '👤 Agents'. Scroll to the bottom of the agent list. Type the agent's name in column B and their office in column C. The ID fills automatically.</t>
        </is>
      </c>
    </row>
    <row r="27" ht="20" customHeight="1">
      <c r="B27" s="93" t="inlineStr">
        <is>
          <t>STEP 6 — Close or BOMB a Transaction</t>
        </is>
      </c>
    </row>
    <row r="28" ht="45" customHeight="1">
      <c r="B28" s="94" t="inlineStr">
        <is>
          <t>In '🗄️ TRANSACTIONS', find the row and change the 'Status' column (col Y) to 'Closed' or 'BOMB'. The dashboard will update accordingly.</t>
        </is>
      </c>
    </row>
    <row r="30" ht="20" customHeight="1">
      <c r="B30" s="93" t="inlineStr">
        <is>
          <t>IMPORTANT — Do Not...</t>
        </is>
      </c>
    </row>
    <row r="31" ht="45" customHeight="1">
      <c r="B31" s="94" t="inlineStr">
        <is>
          <t>• Do NOT delete the header rows (rows 1-2 in any sheet).
• Do NOT sort or delete rows in the AGENTS sheet.
• Do NOT type in BLUE or GREY cells — they are protected.
• Do NOT copy/paste entire rows — paste 'Values Only' if needed.</t>
        </is>
      </c>
    </row>
    <row r="33" ht="20" customHeight="1">
      <c r="B33" s="93" t="inlineStr">
        <is>
          <t>TIPS</t>
        </is>
      </c>
    </row>
    <row r="34" ht="45" customHeight="1">
      <c r="B34" s="94" t="inlineStr">
        <is>
          <t>• If a dropdown doesn't show your agent, first add them to the '👤 Agents' sheet.
• Commission %: enter as a decimal (e.g., 6% = 0.06).
• If you make a mistake, press Ctrl+Z to undo.
• Save the file with Ctrl+S after each entry.</t>
        </is>
      </c>
    </row>
  </sheetData>
  <mergeCells count="20">
    <mergeCell ref="B11:D11"/>
    <mergeCell ref="B13:D13"/>
    <mergeCell ref="B34:D34"/>
    <mergeCell ref="B28:D28"/>
    <mergeCell ref="B19:D19"/>
    <mergeCell ref="B30:D30"/>
    <mergeCell ref="B15:D15"/>
    <mergeCell ref="B24:D24"/>
    <mergeCell ref="B33:D33"/>
    <mergeCell ref="A1:D1"/>
    <mergeCell ref="B4:D4"/>
    <mergeCell ref="B25:D25"/>
    <mergeCell ref="B16:D16"/>
    <mergeCell ref="B31:D31"/>
    <mergeCell ref="B22:D22"/>
    <mergeCell ref="B18:D18"/>
    <mergeCell ref="B27:D27"/>
    <mergeCell ref="B21:D21"/>
    <mergeCell ref="A2:D2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95" t="inlineStr">
        <is>
          <t>CHECKLIST STATUS</t>
        </is>
      </c>
      <c r="D1" s="95" t="inlineStr">
        <is>
          <t>LOAN TYPE</t>
        </is>
      </c>
      <c r="F1" s="95" t="inlineStr">
        <is>
          <t>EARNEST MONEY HOLDER</t>
        </is>
      </c>
      <c r="H1" s="95" t="inlineStr">
        <is>
          <t>HOME WARRANTY PAYER</t>
        </is>
      </c>
      <c r="J1" s="95" t="inlineStr">
        <is>
          <t>YES / NO</t>
        </is>
      </c>
      <c r="L1" s="95" t="inlineStr">
        <is>
          <t>TRANSACTION STATUS</t>
        </is>
      </c>
    </row>
    <row r="2">
      <c r="A2" s="96" t="inlineStr">
        <is>
          <t>Status</t>
        </is>
      </c>
      <c r="B2" s="96" t="inlineStr">
        <is>
          <t>Bucket</t>
        </is>
      </c>
      <c r="D2" s="96" t="inlineStr">
        <is>
          <t>LoanType</t>
        </is>
      </c>
      <c r="F2" s="96" t="inlineStr">
        <is>
          <t>EMHold</t>
        </is>
      </c>
      <c r="H2" s="96" t="inlineStr">
        <is>
          <t>HWPay</t>
        </is>
      </c>
      <c r="J2" s="96" t="inlineStr">
        <is>
          <t>YN</t>
        </is>
      </c>
      <c r="L2" s="96" t="inlineStr">
        <is>
          <t>TransStatus</t>
        </is>
      </c>
    </row>
    <row r="3">
      <c r="A3" s="97" t="inlineStr">
        <is>
          <t>Not Started</t>
        </is>
      </c>
      <c r="B3" s="97" t="inlineStr">
        <is>
          <t>Active</t>
        </is>
      </c>
      <c r="D3" s="97" t="inlineStr">
        <is>
          <t>CONV</t>
        </is>
      </c>
      <c r="F3" s="97" t="inlineStr">
        <is>
          <t>HH</t>
        </is>
      </c>
      <c r="H3" s="97" t="inlineStr">
        <is>
          <t>Seller</t>
        </is>
      </c>
      <c r="J3" s="97" t="inlineStr">
        <is>
          <t>Yes</t>
        </is>
      </c>
      <c r="L3" s="97" t="inlineStr">
        <is>
          <t>Active</t>
        </is>
      </c>
    </row>
    <row r="4">
      <c r="A4" s="97" t="inlineStr">
        <is>
          <t>In Progress</t>
        </is>
      </c>
      <c r="B4" s="97" t="inlineStr">
        <is>
          <t>Active</t>
        </is>
      </c>
      <c r="D4" s="97" t="inlineStr">
        <is>
          <t>FHA</t>
        </is>
      </c>
      <c r="F4" s="97" t="inlineStr">
        <is>
          <t>Title</t>
        </is>
      </c>
      <c r="H4" s="97" t="inlineStr">
        <is>
          <t>Buyer</t>
        </is>
      </c>
      <c r="J4" s="97" t="inlineStr">
        <is>
          <t>No</t>
        </is>
      </c>
      <c r="L4" s="97" t="inlineStr">
        <is>
          <t>Closed</t>
        </is>
      </c>
    </row>
    <row r="5">
      <c r="A5" s="97" t="inlineStr">
        <is>
          <t>Waiting</t>
        </is>
      </c>
      <c r="B5" s="97" t="inlineStr">
        <is>
          <t>Active</t>
        </is>
      </c>
      <c r="D5" s="97" t="inlineStr">
        <is>
          <t>VA</t>
        </is>
      </c>
      <c r="F5" s="97" t="inlineStr">
        <is>
          <t>CoBroke</t>
        </is>
      </c>
      <c r="H5" s="97" t="inlineStr">
        <is>
          <t>Split</t>
        </is>
      </c>
      <c r="L5" s="97" t="inlineStr">
        <is>
          <t>BOMB</t>
        </is>
      </c>
    </row>
    <row r="6">
      <c r="A6" s="97" t="inlineStr">
        <is>
          <t>Complete</t>
        </is>
      </c>
      <c r="B6" s="97" t="inlineStr">
        <is>
          <t>Complete</t>
        </is>
      </c>
      <c r="D6" s="97" t="inlineStr">
        <is>
          <t>CASH</t>
        </is>
      </c>
      <c r="F6" s="97" t="inlineStr">
        <is>
          <t>Buyer</t>
        </is>
      </c>
      <c r="H6" s="97" t="inlineStr">
        <is>
          <t>Other</t>
        </is>
      </c>
    </row>
    <row r="7">
      <c r="A7" s="97" t="inlineStr">
        <is>
          <t>N/A</t>
        </is>
      </c>
      <c r="B7" s="97" t="inlineStr">
        <is>
          <t>N/A</t>
        </is>
      </c>
      <c r="D7" s="97" t="inlineStr">
        <is>
          <t>New Const</t>
        </is>
      </c>
      <c r="F7" s="97" t="inlineStr">
        <is>
          <t>Seller</t>
        </is>
      </c>
      <c r="H7" s="97" t="inlineStr">
        <is>
          <t>N/A</t>
        </is>
      </c>
    </row>
    <row r="8">
      <c r="D8" s="97" t="inlineStr">
        <is>
          <t>Eq. Ln</t>
        </is>
      </c>
      <c r="F8" s="97" t="inlineStr">
        <is>
          <t>N/A</t>
        </is>
      </c>
    </row>
    <row r="9">
      <c r="D9" s="97" t="inlineStr">
        <is>
          <t>Other</t>
        </is>
      </c>
      <c r="F9" s="97" t="inlineStr">
        <is>
          <t>Other</t>
        </is>
      </c>
    </row>
    <row r="15">
      <c r="A15" s="98" t="inlineStr">
        <is>
          <t>FlatFee</t>
        </is>
      </c>
      <c r="B15" t="inlineStr">
        <is>
          <t>Amount</t>
        </is>
      </c>
    </row>
    <row r="16">
      <c r="A16" t="inlineStr">
        <is>
          <t>Flat Fee Amount</t>
        </is>
      </c>
      <c r="B16" s="99" t="n">
        <v>399</v>
      </c>
    </row>
  </sheetData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2026-02-27T21:44:12Z</dcterms:created>
  <dcterms:modified xsi:type="dcterms:W3CDTF">2026-02-27T21:44:13Z</dcterms:modified>
</cp:coreProperties>
</file>