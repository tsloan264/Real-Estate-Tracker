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rogressiveinsurance-my.sharepoint.com/personal/tiffany_sloan_progressive_com/Documents/Desktop/"/>
    </mc:Choice>
  </mc:AlternateContent>
  <xr:revisionPtr revIDLastSave="3253" documentId="8_{19DB616F-5949-486F-A688-6E504D985FEA}" xr6:coauthVersionLast="47" xr6:coauthVersionMax="47" xr10:uidLastSave="{05B41315-FD7E-4989-89FA-A8EF60081EA0}"/>
  <bookViews>
    <workbookView xWindow="28680" yWindow="-120" windowWidth="29040" windowHeight="15720" firstSheet="1" activeTab="1" xr2:uid="{00000000-000D-0000-FFFF-FFFF00000000}"/>
    <workbookView xWindow="43095" yWindow="0" windowWidth="14610" windowHeight="15585" firstSheet="5" activeTab="4" xr2:uid="{3BAD0B34-2060-481D-A4EF-9219CA9BA33C}"/>
  </bookViews>
  <sheets>
    <sheet name="📊 Dashboard" sheetId="16" r:id="rId1"/>
    <sheet name="Entry Form" sheetId="12" r:id="rId2"/>
    <sheet name="Edit Transaction" sheetId="15" r:id="rId3"/>
    <sheet name="Agent" sheetId="2" r:id="rId4"/>
    <sheet name="Transaction Table" sheetId="5" r:id="rId5"/>
    <sheet name="Transaction Calc" sheetId="7" r:id="rId6"/>
    <sheet name="Checklist Table" sheetId="13" r:id="rId7"/>
    <sheet name="📝 TransactionMaster" sheetId="9" state="hidden" r:id="rId8"/>
    <sheet name="🔖 Lookups" sheetId="3" state="hidden" r:id="rId9"/>
  </sheets>
  <definedNames>
    <definedName name="_xlpm.addr" hidden="1" xlm="1">#NAME?</definedName>
    <definedName name="_xlpm.agents" hidden="1" xlm="1">#NAME?</definedName>
    <definedName name="_xlpm.avgprice" hidden="1" xlm="1">#NAME?</definedName>
    <definedName name="_xlpm.avgs" hidden="1" xlm="1">#NAME?</definedName>
    <definedName name="_xlpm.closing" hidden="1" xlm="1">#NAME?</definedName>
    <definedName name="_xlpm.combined" hidden="1" xlm="1">#NAME?</definedName>
    <definedName name="_xlpm.counts" hidden="1" xlm="1">#NAME?</definedName>
    <definedName name="_xlpm.dates" hidden="1" xlm="1">#NAME?</definedName>
    <definedName name="_xlpm.days" hidden="1" xlm="1">#NAME?</definedName>
    <definedName name="_xlpm.emamt" hidden="1" xlm="1">#NAME?</definedName>
    <definedName name="_xlpm.emhold" hidden="1" xlm="1">#NAME?</definedName>
    <definedName name="_xlpm.emreceived" hidden="1" xlm="1">#NAME?</definedName>
    <definedName name="_xlpm.filtered" hidden="1" xlm="1">#NAME?</definedName>
    <definedName name="_xlpm.flag" hidden="1" xlm="1">#NAME?</definedName>
    <definedName name="_xlpm.hw" hidden="1" xlm="1">#NAME?</definedName>
    <definedName name="_xlpm.months" hidden="1" xlm="1">#NAME?</definedName>
    <definedName name="_xlpm.ordered" hidden="1" xlm="1">#NAME?</definedName>
    <definedName name="_xlpm.payer" hidden="1" xlm="1">#NAME?</definedName>
    <definedName name="_xlpm.prices" hidden="1" xlm="1">#NAME?</definedName>
    <definedName name="_xlpm.prog" hidden="1" xlm="1">#NAME?</definedName>
    <definedName name="_xlpm.result" hidden="1" xlm="1">#NAME?</definedName>
    <definedName name="_xlpm.revenue" hidden="1" xlm="1">#NAME?</definedName>
    <definedName name="_xlpm.sorted" hidden="1" xlm="1">#NAME?</definedName>
    <definedName name="_xlpm.stat" hidden="1" xlm="1">#NAME?</definedName>
    <definedName name="_xlpm.tid" hidden="1" xlm="1">#NAME?</definedName>
    <definedName name="_xlpm.titleco" hidden="1" xlm="1">#NAME?</definedName>
    <definedName name="_xlpm.types" hidden="1" xlm="1">#NAME?</definedName>
    <definedName name="_xlpm.val" hidden="1" xlm="1">#NAME?</definedName>
    <definedName name="_xlpm.volume" hidden="1" xlm="1">#NAME?</definedName>
    <definedName name="AgentCheck">Table7[Check]</definedName>
    <definedName name="CkPaste" localSheetId="2">'Edit Transaction'!$I$12:$BC$12</definedName>
    <definedName name="CkPaste">'Entry Form'!$I$12:$BC$12</definedName>
    <definedName name="EditChk">'Edit Transaction'!$J$12:$BC$12</definedName>
    <definedName name="EditID">'Edit Transaction'!$G$6</definedName>
    <definedName name="EditTrans">'Edit Transaction'!$J$9:$AF$9</definedName>
    <definedName name="FlatFee">'🔖 Lookups'!$B$24</definedName>
    <definedName name="NewAgent">Table7[AgentName]</definedName>
    <definedName name="NewOffice">Table7[Office]</definedName>
    <definedName name="State">'🔖 Lookups'!$B$25</definedName>
    <definedName name="TranCount">'Transaction Table'!$A$3</definedName>
    <definedName name="TranID" localSheetId="2">'Edit Transaction'!$I$7</definedName>
    <definedName name="TranID">'Entry Form'!$I$7</definedName>
    <definedName name="TransPaste" localSheetId="2">'Edit Transaction'!$J$5:$AH$5</definedName>
    <definedName name="TransPaste">'Entry Form'!$J$5:$AH$5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6" l="1" a="1"/>
  <c r="B12" i="16" s="1"/>
  <c r="D12" i="16" a="1"/>
  <c r="D12" i="16" s="1"/>
  <c r="B32" i="16"/>
  <c r="D21" i="16"/>
  <c r="B21" i="16"/>
  <c r="D10" i="16"/>
  <c r="B10" i="16" a="1"/>
  <c r="B10" i="16" s="1"/>
  <c r="D23" i="16" a="1"/>
  <c r="D23" i="16" s="1"/>
  <c r="B23" i="16" a="1"/>
  <c r="B23" i="16" s="1"/>
  <c r="D34" i="16" a="1"/>
  <c r="D34" i="16" s="1"/>
  <c r="B34" i="16" a="1"/>
  <c r="B34" i="16" s="1"/>
  <c r="D8" i="16"/>
  <c r="B8" i="16"/>
  <c r="D5" i="16"/>
  <c r="B5" i="16"/>
  <c r="A2" i="16"/>
  <c r="AW30" i="13"/>
  <c r="AW29" i="13"/>
  <c r="AW28" i="13"/>
  <c r="AW27" i="13"/>
  <c r="AW26" i="13"/>
  <c r="AW25" i="13"/>
  <c r="AW24" i="13"/>
  <c r="AW23" i="13"/>
  <c r="AW22" i="13"/>
  <c r="AW21" i="13"/>
  <c r="AW20" i="13"/>
  <c r="AW19" i="13"/>
  <c r="AW18" i="13"/>
  <c r="AW17" i="13"/>
  <c r="AW16" i="13"/>
  <c r="AW15" i="13"/>
  <c r="AW14" i="13"/>
  <c r="AW13" i="13"/>
  <c r="AW12" i="13"/>
  <c r="AW11" i="13"/>
  <c r="AW10" i="13"/>
  <c r="AW9" i="13"/>
  <c r="AW8" i="13"/>
  <c r="AV30" i="13"/>
  <c r="AV29" i="13"/>
  <c r="AV28" i="13"/>
  <c r="AV27" i="13"/>
  <c r="AV26" i="13"/>
  <c r="AV25" i="13"/>
  <c r="AV24" i="13"/>
  <c r="AV23" i="13"/>
  <c r="AV22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W7" i="13"/>
  <c r="AV7" i="13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C15" i="7"/>
  <c r="E15" i="7" s="1"/>
  <c r="C16" i="7"/>
  <c r="E16" i="7" s="1"/>
  <c r="C18" i="7"/>
  <c r="C19" i="7"/>
  <c r="C29" i="7"/>
  <c r="C30" i="7"/>
  <c r="E30" i="7" s="1"/>
  <c r="J30" i="7" s="1"/>
  <c r="D11" i="7"/>
  <c r="D12" i="7"/>
  <c r="D22" i="7"/>
  <c r="F22" i="7" s="1"/>
  <c r="D23" i="7"/>
  <c r="F23" i="7" s="1"/>
  <c r="D25" i="7"/>
  <c r="D26" i="7"/>
  <c r="E18" i="7"/>
  <c r="J18" i="7" s="1"/>
  <c r="E19" i="7"/>
  <c r="E29" i="7"/>
  <c r="F11" i="7"/>
  <c r="F12" i="7"/>
  <c r="F25" i="7"/>
  <c r="F26" i="7"/>
  <c r="H12" i="7"/>
  <c r="H22" i="7"/>
  <c r="H23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I25" i="7"/>
  <c r="I26" i="7"/>
  <c r="I27" i="7"/>
  <c r="I28" i="7"/>
  <c r="I29" i="7"/>
  <c r="I30" i="7"/>
  <c r="L10" i="7"/>
  <c r="C10" i="7" s="1"/>
  <c r="E10" i="7" s="1"/>
  <c r="J10" i="7" s="1"/>
  <c r="L11" i="7"/>
  <c r="C11" i="7" s="1"/>
  <c r="E11" i="7" s="1"/>
  <c r="J11" i="7" s="1"/>
  <c r="L12" i="7"/>
  <c r="C12" i="7" s="1"/>
  <c r="E12" i="7" s="1"/>
  <c r="J12" i="7" s="1"/>
  <c r="L13" i="7"/>
  <c r="C13" i="7" s="1"/>
  <c r="E13" i="7" s="1"/>
  <c r="J13" i="7" s="1"/>
  <c r="L14" i="7"/>
  <c r="C14" i="7" s="1"/>
  <c r="E14" i="7" s="1"/>
  <c r="J14" i="7" s="1"/>
  <c r="L15" i="7"/>
  <c r="L16" i="7"/>
  <c r="L17" i="7"/>
  <c r="C17" i="7" s="1"/>
  <c r="E17" i="7" s="1"/>
  <c r="L18" i="7"/>
  <c r="L19" i="7"/>
  <c r="L20" i="7"/>
  <c r="C20" i="7" s="1"/>
  <c r="E20" i="7" s="1"/>
  <c r="L21" i="7"/>
  <c r="C21" i="7" s="1"/>
  <c r="E21" i="7" s="1"/>
  <c r="L22" i="7"/>
  <c r="C22" i="7" s="1"/>
  <c r="E22" i="7" s="1"/>
  <c r="J22" i="7" s="1"/>
  <c r="L23" i="7"/>
  <c r="C23" i="7" s="1"/>
  <c r="E23" i="7" s="1"/>
  <c r="L24" i="7"/>
  <c r="C24" i="7" s="1"/>
  <c r="E24" i="7" s="1"/>
  <c r="J24" i="7" s="1"/>
  <c r="L25" i="7"/>
  <c r="C25" i="7" s="1"/>
  <c r="E25" i="7" s="1"/>
  <c r="J25" i="7" s="1"/>
  <c r="L26" i="7"/>
  <c r="C26" i="7" s="1"/>
  <c r="E26" i="7" s="1"/>
  <c r="J26" i="7" s="1"/>
  <c r="L27" i="7"/>
  <c r="C27" i="7" s="1"/>
  <c r="E27" i="7" s="1"/>
  <c r="J27" i="7" s="1"/>
  <c r="L28" i="7"/>
  <c r="C28" i="7" s="1"/>
  <c r="E28" i="7" s="1"/>
  <c r="J28" i="7" s="1"/>
  <c r="L29" i="7"/>
  <c r="L30" i="7"/>
  <c r="M10" i="7"/>
  <c r="D10" i="7" s="1"/>
  <c r="F10" i="7" s="1"/>
  <c r="M11" i="7"/>
  <c r="M12" i="7"/>
  <c r="M13" i="7"/>
  <c r="D13" i="7" s="1"/>
  <c r="F13" i="7" s="1"/>
  <c r="M14" i="7"/>
  <c r="D14" i="7" s="1"/>
  <c r="F14" i="7" s="1"/>
  <c r="M15" i="7"/>
  <c r="D15" i="7" s="1"/>
  <c r="F15" i="7" s="1"/>
  <c r="M16" i="7"/>
  <c r="D16" i="7" s="1"/>
  <c r="F16" i="7" s="1"/>
  <c r="M17" i="7"/>
  <c r="D17" i="7" s="1"/>
  <c r="F17" i="7" s="1"/>
  <c r="M18" i="7"/>
  <c r="D18" i="7" s="1"/>
  <c r="F18" i="7" s="1"/>
  <c r="M19" i="7"/>
  <c r="D19" i="7" s="1"/>
  <c r="F19" i="7" s="1"/>
  <c r="M20" i="7"/>
  <c r="D20" i="7" s="1"/>
  <c r="F20" i="7" s="1"/>
  <c r="M21" i="7"/>
  <c r="D21" i="7" s="1"/>
  <c r="F21" i="7" s="1"/>
  <c r="M22" i="7"/>
  <c r="M23" i="7"/>
  <c r="M24" i="7"/>
  <c r="D24" i="7" s="1"/>
  <c r="F24" i="7" s="1"/>
  <c r="M25" i="7"/>
  <c r="M26" i="7"/>
  <c r="M27" i="7"/>
  <c r="D27" i="7" s="1"/>
  <c r="F27" i="7" s="1"/>
  <c r="M28" i="7"/>
  <c r="D28" i="7" s="1"/>
  <c r="F28" i="7" s="1"/>
  <c r="M29" i="7"/>
  <c r="D29" i="7" s="1"/>
  <c r="F29" i="7" s="1"/>
  <c r="M30" i="7"/>
  <c r="D30" i="7" s="1"/>
  <c r="F30" i="7" s="1"/>
  <c r="N10" i="7"/>
  <c r="N11" i="7"/>
  <c r="N12" i="7"/>
  <c r="N13" i="7"/>
  <c r="N14" i="7"/>
  <c r="N15" i="7"/>
  <c r="N16" i="7"/>
  <c r="N17" i="7"/>
  <c r="N18" i="7"/>
  <c r="N19" i="7"/>
  <c r="N20" i="7"/>
  <c r="N21" i="7"/>
  <c r="N22" i="7"/>
  <c r="N23" i="7"/>
  <c r="N24" i="7"/>
  <c r="N25" i="7"/>
  <c r="N26" i="7"/>
  <c r="H26" i="7" s="1"/>
  <c r="N27" i="7"/>
  <c r="N28" i="7"/>
  <c r="N29" i="7"/>
  <c r="N30" i="7"/>
  <c r="O10" i="7"/>
  <c r="H10" i="7" s="1"/>
  <c r="O11" i="7"/>
  <c r="G11" i="7" s="1"/>
  <c r="O12" i="7"/>
  <c r="G12" i="7" s="1"/>
  <c r="O13" i="7"/>
  <c r="H13" i="7" s="1"/>
  <c r="O14" i="7"/>
  <c r="H14" i="7" s="1"/>
  <c r="O15" i="7"/>
  <c r="H15" i="7" s="1"/>
  <c r="O16" i="7"/>
  <c r="G16" i="7" s="1"/>
  <c r="O17" i="7"/>
  <c r="G17" i="7" s="1"/>
  <c r="O18" i="7"/>
  <c r="G18" i="7" s="1"/>
  <c r="O19" i="7"/>
  <c r="G19" i="7" s="1"/>
  <c r="O20" i="7"/>
  <c r="G20" i="7" s="1"/>
  <c r="O21" i="7"/>
  <c r="G21" i="7" s="1"/>
  <c r="O22" i="7"/>
  <c r="G22" i="7" s="1"/>
  <c r="O23" i="7"/>
  <c r="G23" i="7" s="1"/>
  <c r="O24" i="7"/>
  <c r="H24" i="7" s="1"/>
  <c r="O25" i="7"/>
  <c r="G25" i="7" s="1"/>
  <c r="O26" i="7"/>
  <c r="G26" i="7" s="1"/>
  <c r="O27" i="7"/>
  <c r="H27" i="7" s="1"/>
  <c r="O28" i="7"/>
  <c r="H28" i="7" s="1"/>
  <c r="O29" i="7"/>
  <c r="H29" i="7" s="1"/>
  <c r="O30" i="7"/>
  <c r="H30" i="7" s="1"/>
  <c r="P10" i="7"/>
  <c r="P11" i="7"/>
  <c r="P12" i="7"/>
  <c r="P13" i="7"/>
  <c r="P14" i="7"/>
  <c r="P15" i="7"/>
  <c r="P16" i="7"/>
  <c r="P17" i="7"/>
  <c r="P18" i="7"/>
  <c r="P19" i="7"/>
  <c r="P20" i="7"/>
  <c r="P21" i="7"/>
  <c r="P22" i="7"/>
  <c r="P23" i="7"/>
  <c r="P24" i="7"/>
  <c r="P25" i="7"/>
  <c r="P26" i="7"/>
  <c r="P27" i="7"/>
  <c r="P28" i="7"/>
  <c r="P29" i="7"/>
  <c r="P30" i="7"/>
  <c r="Q10" i="7"/>
  <c r="K10" i="7" s="1"/>
  <c r="Q11" i="7"/>
  <c r="Q12" i="7"/>
  <c r="K12" i="7" s="1"/>
  <c r="Q13" i="7"/>
  <c r="K13" i="7" s="1"/>
  <c r="Q14" i="7"/>
  <c r="K14" i="7" s="1"/>
  <c r="Q15" i="7"/>
  <c r="K15" i="7" s="1"/>
  <c r="Q16" i="7"/>
  <c r="Q17" i="7"/>
  <c r="Q18" i="7"/>
  <c r="Q19" i="7"/>
  <c r="Q20" i="7"/>
  <c r="Q21" i="7"/>
  <c r="Q22" i="7"/>
  <c r="K22" i="7" s="1"/>
  <c r="Q23" i="7"/>
  <c r="K23" i="7" s="1"/>
  <c r="Q24" i="7"/>
  <c r="K24" i="7" s="1"/>
  <c r="Q25" i="7"/>
  <c r="Q26" i="7"/>
  <c r="Q27" i="7"/>
  <c r="K27" i="7" s="1"/>
  <c r="Q28" i="7"/>
  <c r="K28" i="7" s="1"/>
  <c r="Q29" i="7"/>
  <c r="K29" i="7" s="1"/>
  <c r="Q30" i="7"/>
  <c r="K30" i="7" s="1"/>
  <c r="R10" i="7"/>
  <c r="R11" i="7"/>
  <c r="R12" i="7"/>
  <c r="R13" i="7"/>
  <c r="R14" i="7"/>
  <c r="R15" i="7"/>
  <c r="R16" i="7"/>
  <c r="R17" i="7"/>
  <c r="R18" i="7"/>
  <c r="R19" i="7"/>
  <c r="R20" i="7"/>
  <c r="R21" i="7"/>
  <c r="R22" i="7"/>
  <c r="R23" i="7"/>
  <c r="R24" i="7"/>
  <c r="R25" i="7"/>
  <c r="R26" i="7"/>
  <c r="R27" i="7"/>
  <c r="R28" i="7"/>
  <c r="R29" i="7"/>
  <c r="R30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W10" i="7"/>
  <c r="W11" i="7"/>
  <c r="W12" i="7"/>
  <c r="W13" i="7"/>
  <c r="W14" i="7"/>
  <c r="W15" i="7"/>
  <c r="W16" i="7"/>
  <c r="W17" i="7"/>
  <c r="W18" i="7"/>
  <c r="W19" i="7"/>
  <c r="W20" i="7"/>
  <c r="W21" i="7"/>
  <c r="W22" i="7"/>
  <c r="W23" i="7"/>
  <c r="W24" i="7"/>
  <c r="W25" i="7"/>
  <c r="W26" i="7"/>
  <c r="W27" i="7"/>
  <c r="W28" i="7"/>
  <c r="W29" i="7"/>
  <c r="W30" i="7"/>
  <c r="X10" i="7"/>
  <c r="X11" i="7"/>
  <c r="X12" i="7"/>
  <c r="X13" i="7"/>
  <c r="X14" i="7"/>
  <c r="X15" i="7"/>
  <c r="X16" i="7"/>
  <c r="X17" i="7"/>
  <c r="X18" i="7"/>
  <c r="X19" i="7"/>
  <c r="X20" i="7"/>
  <c r="X21" i="7"/>
  <c r="X22" i="7"/>
  <c r="X23" i="7"/>
  <c r="X24" i="7"/>
  <c r="X25" i="7"/>
  <c r="X26" i="7"/>
  <c r="X27" i="7"/>
  <c r="X28" i="7"/>
  <c r="X29" i="7"/>
  <c r="X30" i="7"/>
  <c r="Y10" i="7"/>
  <c r="Y11" i="7"/>
  <c r="H11" i="7" s="1"/>
  <c r="Y12" i="7"/>
  <c r="Y13" i="7"/>
  <c r="Y14" i="7"/>
  <c r="Y15" i="7"/>
  <c r="Y16" i="7"/>
  <c r="Y17" i="7"/>
  <c r="Y18" i="7"/>
  <c r="Y19" i="7"/>
  <c r="Y20" i="7"/>
  <c r="Y21" i="7"/>
  <c r="Y22" i="7"/>
  <c r="Y23" i="7"/>
  <c r="Y24" i="7"/>
  <c r="Y25" i="7"/>
  <c r="H25" i="7" s="1"/>
  <c r="Y26" i="7"/>
  <c r="Y27" i="7"/>
  <c r="Y28" i="7"/>
  <c r="Y29" i="7"/>
  <c r="Y30" i="7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C13" i="12"/>
  <c r="G16" i="15"/>
  <c r="G15" i="15"/>
  <c r="G27" i="15"/>
  <c r="G26" i="15"/>
  <c r="C27" i="15"/>
  <c r="H66" i="15"/>
  <c r="BC12" i="15" s="1"/>
  <c r="H65" i="15"/>
  <c r="BB12" i="15" s="1"/>
  <c r="H64" i="15"/>
  <c r="BA12" i="15" s="1"/>
  <c r="D66" i="15"/>
  <c r="AY12" i="15" s="1"/>
  <c r="D65" i="15"/>
  <c r="AX12" i="15" s="1"/>
  <c r="D64" i="15"/>
  <c r="AW12" i="15" s="1"/>
  <c r="H59" i="15"/>
  <c r="AV12" i="15" s="1"/>
  <c r="H44" i="15"/>
  <c r="AH12" i="15" s="1"/>
  <c r="H43" i="15"/>
  <c r="AG12" i="15" s="1"/>
  <c r="H42" i="15"/>
  <c r="AF12" i="15" s="1"/>
  <c r="D47" i="15"/>
  <c r="AE12" i="15" s="1"/>
  <c r="H33" i="15"/>
  <c r="T12" i="15" s="1"/>
  <c r="H32" i="15"/>
  <c r="S12" i="15" s="1"/>
  <c r="H31" i="15"/>
  <c r="R12" i="15" s="1"/>
  <c r="D38" i="15"/>
  <c r="Q12" i="15" s="1"/>
  <c r="H25" i="15"/>
  <c r="AF9" i="15" s="1"/>
  <c r="H24" i="15"/>
  <c r="AD9" i="15" s="1"/>
  <c r="D26" i="15"/>
  <c r="AA9" i="15" s="1"/>
  <c r="D25" i="15"/>
  <c r="AE9" i="15" s="1"/>
  <c r="D14" i="15"/>
  <c r="O9" i="15" s="1"/>
  <c r="D12" i="15"/>
  <c r="U9" i="15" s="1"/>
  <c r="D11" i="15"/>
  <c r="T9" i="15" s="1"/>
  <c r="D16" i="15"/>
  <c r="Q9" i="15" s="1"/>
  <c r="D58" i="15"/>
  <c r="AR12" i="15" s="1"/>
  <c r="H23" i="15"/>
  <c r="Z9" i="15" s="1"/>
  <c r="H22" i="15"/>
  <c r="AC9" i="15" s="1"/>
  <c r="H21" i="15"/>
  <c r="AB9" i="15" s="1"/>
  <c r="D24" i="15"/>
  <c r="Y9" i="15" s="1"/>
  <c r="D23" i="15"/>
  <c r="X9" i="15" s="1"/>
  <c r="D22" i="15"/>
  <c r="W9" i="15" s="1"/>
  <c r="D21" i="15"/>
  <c r="V9" i="15" s="1"/>
  <c r="H14" i="15"/>
  <c r="S9" i="15" s="1"/>
  <c r="H13" i="15"/>
  <c r="R9" i="15" s="1"/>
  <c r="H12" i="15"/>
  <c r="M9" i="15" s="1"/>
  <c r="H11" i="15"/>
  <c r="K9" i="15" s="1"/>
  <c r="H10" i="15"/>
  <c r="J9" i="15" s="1"/>
  <c r="D15" i="15"/>
  <c r="P9" i="15" s="1"/>
  <c r="D13" i="15"/>
  <c r="L9" i="15" s="1"/>
  <c r="D10" i="15"/>
  <c r="N9" i="15" s="1"/>
  <c r="A7" i="5"/>
  <c r="K5" i="12"/>
  <c r="L5" i="12"/>
  <c r="M5" i="12"/>
  <c r="N5" i="12"/>
  <c r="O5" i="12"/>
  <c r="P5" i="12"/>
  <c r="Q5" i="12"/>
  <c r="R5" i="12"/>
  <c r="S5" i="12"/>
  <c r="T5" i="12"/>
  <c r="U5" i="12"/>
  <c r="V5" i="12"/>
  <c r="W5" i="12"/>
  <c r="X5" i="12"/>
  <c r="Y5" i="12"/>
  <c r="Z5" i="12"/>
  <c r="AA5" i="12"/>
  <c r="AB5" i="12"/>
  <c r="AC5" i="12"/>
  <c r="AD5" i="12"/>
  <c r="AE5" i="12"/>
  <c r="AF5" i="12"/>
  <c r="AG5" i="12"/>
  <c r="AH5" i="12"/>
  <c r="J12" i="12"/>
  <c r="K12" i="12"/>
  <c r="L12" i="12"/>
  <c r="M12" i="12"/>
  <c r="N12" i="12"/>
  <c r="O12" i="12"/>
  <c r="P12" i="12"/>
  <c r="Q12" i="12"/>
  <c r="R12" i="12"/>
  <c r="S12" i="12"/>
  <c r="T12" i="12"/>
  <c r="U12" i="12"/>
  <c r="V12" i="12"/>
  <c r="W12" i="12"/>
  <c r="X12" i="12"/>
  <c r="Y12" i="12"/>
  <c r="Z12" i="12"/>
  <c r="AA12" i="12"/>
  <c r="AB12" i="12"/>
  <c r="AC12" i="12"/>
  <c r="AD12" i="12"/>
  <c r="AE12" i="12"/>
  <c r="AF12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Z12" i="12"/>
  <c r="BA12" i="12"/>
  <c r="BB12" i="12"/>
  <c r="BC12" i="12"/>
  <c r="F11" i="12"/>
  <c r="K17" i="7" l="1"/>
  <c r="J16" i="7"/>
  <c r="K19" i="7"/>
  <c r="J23" i="7"/>
  <c r="J29" i="7"/>
  <c r="J15" i="7"/>
  <c r="J19" i="7"/>
  <c r="J21" i="7"/>
  <c r="J20" i="7"/>
  <c r="K26" i="7"/>
  <c r="K25" i="7"/>
  <c r="K11" i="7"/>
  <c r="J17" i="7"/>
  <c r="G29" i="7"/>
  <c r="H21" i="7"/>
  <c r="K21" i="7" s="1"/>
  <c r="G28" i="7"/>
  <c r="G14" i="7"/>
  <c r="H19" i="7"/>
  <c r="H18" i="7"/>
  <c r="K18" i="7" s="1"/>
  <c r="G15" i="7"/>
  <c r="H20" i="7"/>
  <c r="K20" i="7" s="1"/>
  <c r="G27" i="7"/>
  <c r="G13" i="7"/>
  <c r="H17" i="7"/>
  <c r="G24" i="7"/>
  <c r="G10" i="7"/>
  <c r="G30" i="7"/>
  <c r="H16" i="7"/>
  <c r="K16" i="7" s="1"/>
  <c r="Q9" i="7"/>
  <c r="W9" i="7"/>
  <c r="T9" i="7"/>
  <c r="S9" i="7"/>
  <c r="R9" i="7"/>
  <c r="D35" i="15"/>
  <c r="N12" i="15" s="1"/>
  <c r="D44" i="15"/>
  <c r="AB12" i="15" s="1"/>
  <c r="D59" i="15"/>
  <c r="AS12" i="15" s="1"/>
  <c r="V9" i="7"/>
  <c r="D36" i="15"/>
  <c r="O12" i="15" s="1"/>
  <c r="D45" i="15"/>
  <c r="AC12" i="15" s="1"/>
  <c r="D60" i="15"/>
  <c r="AT12" i="15" s="1"/>
  <c r="U9" i="7"/>
  <c r="D37" i="15"/>
  <c r="P12" i="15" s="1"/>
  <c r="D46" i="15"/>
  <c r="AD12" i="15" s="1"/>
  <c r="H58" i="15"/>
  <c r="AU12" i="15" s="1"/>
  <c r="P9" i="7"/>
  <c r="H45" i="15"/>
  <c r="AI12" i="15" s="1"/>
  <c r="O9" i="7"/>
  <c r="H35" i="15"/>
  <c r="V12" i="15" s="1"/>
  <c r="N9" i="7"/>
  <c r="H36" i="15"/>
  <c r="W12" i="15" s="1"/>
  <c r="D52" i="15"/>
  <c r="AL12" i="15" s="1"/>
  <c r="H46" i="15"/>
  <c r="AJ12" i="15" s="1"/>
  <c r="M9" i="7"/>
  <c r="D9" i="7" s="1"/>
  <c r="F9" i="7" s="1"/>
  <c r="D31" i="15"/>
  <c r="J12" i="15" s="1"/>
  <c r="H37" i="15"/>
  <c r="X12" i="15" s="1"/>
  <c r="D54" i="15"/>
  <c r="AN12" i="15" s="1"/>
  <c r="H34" i="15"/>
  <c r="U12" i="15" s="1"/>
  <c r="D32" i="15"/>
  <c r="K12" i="15" s="1"/>
  <c r="H52" i="15"/>
  <c r="AP12" i="15" s="1"/>
  <c r="Y9" i="7"/>
  <c r="I9" i="7"/>
  <c r="D33" i="15"/>
  <c r="L12" i="15" s="1"/>
  <c r="D42" i="15"/>
  <c r="Z12" i="15" s="1"/>
  <c r="H53" i="15"/>
  <c r="AQ12" i="15" s="1"/>
  <c r="D67" i="15"/>
  <c r="AZ12" i="15" s="1"/>
  <c r="L9" i="7"/>
  <c r="C9" i="7" s="1"/>
  <c r="E9" i="7" s="1"/>
  <c r="H38" i="15"/>
  <c r="Y12" i="15" s="1"/>
  <c r="X9" i="7"/>
  <c r="B9" i="7"/>
  <c r="D34" i="15"/>
  <c r="M12" i="15" s="1"/>
  <c r="D43" i="15"/>
  <c r="AA12" i="15" s="1"/>
  <c r="D51" i="15"/>
  <c r="AK12" i="15" s="1"/>
  <c r="D53" i="15"/>
  <c r="AM12" i="15" s="1"/>
  <c r="H51" i="15"/>
  <c r="AO12" i="15" s="1"/>
  <c r="G6" i="15"/>
  <c r="N8" i="7"/>
  <c r="W8" i="7"/>
  <c r="V8" i="7"/>
  <c r="U8" i="7"/>
  <c r="T8" i="7"/>
  <c r="S8" i="7"/>
  <c r="R8" i="7"/>
  <c r="Q8" i="7"/>
  <c r="O8" i="7"/>
  <c r="M8" i="7"/>
  <c r="D8" i="7" s="1"/>
  <c r="F8" i="7" s="1"/>
  <c r="L8" i="7"/>
  <c r="C8" i="7" s="1"/>
  <c r="E8" i="7" s="1"/>
  <c r="P8" i="7"/>
  <c r="I8" i="7"/>
  <c r="Y8" i="7"/>
  <c r="X8" i="7"/>
  <c r="B8" i="7"/>
  <c r="C3" i="12"/>
  <c r="I5" i="12"/>
  <c r="I7" i="12" s="1"/>
  <c r="I12" i="12" s="1"/>
  <c r="X7" i="7"/>
  <c r="W7" i="7"/>
  <c r="V7" i="7"/>
  <c r="U7" i="7"/>
  <c r="B7" i="7"/>
  <c r="T7" i="7"/>
  <c r="S7" i="7"/>
  <c r="R7" i="7"/>
  <c r="Q7" i="7"/>
  <c r="P7" i="7"/>
  <c r="O7" i="7"/>
  <c r="N7" i="7"/>
  <c r="M7" i="7"/>
  <c r="D7" i="7" s="1"/>
  <c r="F7" i="7" s="1"/>
  <c r="L7" i="7"/>
  <c r="C7" i="7" s="1"/>
  <c r="E7" i="7" s="1"/>
  <c r="Y7" i="7"/>
  <c r="I7" i="7"/>
  <c r="H9" i="7" l="1"/>
  <c r="K9" i="7" s="1"/>
  <c r="D27" i="15"/>
  <c r="H27" i="15"/>
  <c r="H26" i="15"/>
  <c r="G9" i="7"/>
  <c r="J9" i="7"/>
  <c r="H16" i="15"/>
  <c r="H15" i="15"/>
  <c r="G8" i="7"/>
  <c r="J8" i="7"/>
  <c r="H8" i="7"/>
  <c r="K8" i="7" s="1"/>
  <c r="H7" i="7"/>
  <c r="K7" i="7" s="1"/>
  <c r="G7" i="7"/>
  <c r="J7" i="7"/>
  <c r="F21" i="12" l="1"/>
  <c r="F20" i="12"/>
  <c r="C21" i="12"/>
  <c r="F10" i="12"/>
  <c r="F3" i="12"/>
  <c r="J5" i="12" s="1"/>
  <c r="G5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<sst xmlns="http://schemas.openxmlformats.org/spreadsheetml/2006/main" count="2531" uniqueCount="603">
  <si>
    <t>TransactionID</t>
  </si>
  <si>
    <t>AgentID</t>
  </si>
  <si>
    <t>LoanType</t>
  </si>
  <si>
    <t>EMHold</t>
  </si>
  <si>
    <t>HWPay</t>
  </si>
  <si>
    <t>Status</t>
  </si>
  <si>
    <t>👤  AGENT</t>
  </si>
  <si>
    <t>AgentName</t>
  </si>
  <si>
    <t>Office</t>
  </si>
  <si>
    <t>Pulte Homes</t>
  </si>
  <si>
    <t>Barb Lesure</t>
  </si>
  <si>
    <t>HH</t>
  </si>
  <si>
    <t>Ivana Carson</t>
  </si>
  <si>
    <t>Keller</t>
  </si>
  <si>
    <t>Rachel Eastwood</t>
  </si>
  <si>
    <t>Eric Yetzer</t>
  </si>
  <si>
    <t>Karen/Milka</t>
  </si>
  <si>
    <t>Kelly/Heidi</t>
  </si>
  <si>
    <t>Matthew Kalogeras</t>
  </si>
  <si>
    <t>Trelora</t>
  </si>
  <si>
    <t>Karen/Annette</t>
  </si>
  <si>
    <t>Mark Metz</t>
  </si>
  <si>
    <t>Rebbecca Tessanne</t>
  </si>
  <si>
    <t>Ron Ho</t>
  </si>
  <si>
    <t>Vicky &amp; Beth</t>
  </si>
  <si>
    <t>Lenny Herbert</t>
  </si>
  <si>
    <t>Remax</t>
  </si>
  <si>
    <t>Vicky &amp; Beth (Shelly)</t>
  </si>
  <si>
    <t>Debbie Ferrante</t>
  </si>
  <si>
    <t>Jennifer Ham</t>
  </si>
  <si>
    <t>BHHS Stouffer</t>
  </si>
  <si>
    <t>Kelly Watts</t>
  </si>
  <si>
    <t>Amy Frary</t>
  </si>
  <si>
    <t>Katrina Heath</t>
  </si>
  <si>
    <t>McDowell</t>
  </si>
  <si>
    <t>Andrew Jenkins</t>
  </si>
  <si>
    <t>Jerry Lesac</t>
  </si>
  <si>
    <t>Tim Vanderlaan</t>
  </si>
  <si>
    <t>EXP</t>
  </si>
  <si>
    <t>Oleg Bosovic</t>
  </si>
  <si>
    <t>Shelly Booth</t>
  </si>
  <si>
    <t>Coldwell</t>
  </si>
  <si>
    <t>Autumn Moore</t>
  </si>
  <si>
    <t>Brian Leatherman</t>
  </si>
  <si>
    <t>Milton</t>
  </si>
  <si>
    <t>Cindy McCory</t>
  </si>
  <si>
    <t>Lila Wohlwend</t>
  </si>
  <si>
    <t>Clear Sky</t>
  </si>
  <si>
    <t>Amy Marinello</t>
  </si>
  <si>
    <t>BHHS</t>
  </si>
  <si>
    <t>Melissa Steiner</t>
  </si>
  <si>
    <t>Deb Shreiner</t>
  </si>
  <si>
    <t>Helen Scott</t>
  </si>
  <si>
    <t>Brenda Verbeka</t>
  </si>
  <si>
    <t>HH Medina</t>
  </si>
  <si>
    <t>Christine Conkle</t>
  </si>
  <si>
    <t>ReMax Edge</t>
  </si>
  <si>
    <t>Sonja Halstead</t>
  </si>
  <si>
    <t>Keller Williams</t>
  </si>
  <si>
    <t>🔖  LOOKUP / REFERENCE TABLES</t>
  </si>
  <si>
    <t>STATUS</t>
  </si>
  <si>
    <t>LOAN TYPE</t>
  </si>
  <si>
    <t>EARNEST MONEY HOLDER</t>
  </si>
  <si>
    <t>HOME WARRANTY PAYER</t>
  </si>
  <si>
    <t>YES / NO</t>
  </si>
  <si>
    <t>Label</t>
  </si>
  <si>
    <t>Not Started</t>
  </si>
  <si>
    <t>CONV</t>
  </si>
  <si>
    <t>Conventional</t>
  </si>
  <si>
    <t>HH (Our Office)</t>
  </si>
  <si>
    <t>Seller</t>
  </si>
  <si>
    <t>Yes</t>
  </si>
  <si>
    <t>In Progress</t>
  </si>
  <si>
    <t>FHA</t>
  </si>
  <si>
    <t>Title</t>
  </si>
  <si>
    <t>Title Company</t>
  </si>
  <si>
    <t>Buyer</t>
  </si>
  <si>
    <t>No</t>
  </si>
  <si>
    <t>Waiting</t>
  </si>
  <si>
    <t>VA</t>
  </si>
  <si>
    <t>VA / Veteran</t>
  </si>
  <si>
    <t>CoBroke</t>
  </si>
  <si>
    <t>Co-Broke Agent</t>
  </si>
  <si>
    <t>Split</t>
  </si>
  <si>
    <t>Complete</t>
  </si>
  <si>
    <t>Cash</t>
  </si>
  <si>
    <t>Buyer's Agent</t>
  </si>
  <si>
    <t>Other</t>
  </si>
  <si>
    <t>N/A</t>
  </si>
  <si>
    <t>New Const</t>
  </si>
  <si>
    <t>New Construction</t>
  </si>
  <si>
    <t>Seller's Agent</t>
  </si>
  <si>
    <t>Eq. Ln</t>
  </si>
  <si>
    <t>Equity Loan</t>
  </si>
  <si>
    <t>ColumnHeader</t>
  </si>
  <si>
    <t>MLSPrintout</t>
  </si>
  <si>
    <t>MLS Printout</t>
  </si>
  <si>
    <t>Check Paperwork</t>
  </si>
  <si>
    <t>FHAVAAddendum</t>
  </si>
  <si>
    <t>FHA/VA Addendum</t>
  </si>
  <si>
    <t>Required IF LoanType = FHA or VA</t>
  </si>
  <si>
    <t>AgencyDisclosure</t>
  </si>
  <si>
    <t>Agency Disclosure</t>
  </si>
  <si>
    <t>CondoAddendum</t>
  </si>
  <si>
    <t>Condo Addendum</t>
  </si>
  <si>
    <t>ConsumerGuide</t>
  </si>
  <si>
    <t>Consumer Guide</t>
  </si>
  <si>
    <t>PurchaseAgreement</t>
  </si>
  <si>
    <t>Purchase Agreement</t>
  </si>
  <si>
    <t>ABA</t>
  </si>
  <si>
    <t>ABAPOD</t>
  </si>
  <si>
    <t>ABA (POD)</t>
  </si>
  <si>
    <t>PropertyDisclosure</t>
  </si>
  <si>
    <t>Property Disclosure</t>
  </si>
  <si>
    <t>HWAppReceived</t>
  </si>
  <si>
    <t>Home Warranty Application Received</t>
  </si>
  <si>
    <t>Required IF HomeWarranty = Yes</t>
  </si>
  <si>
    <t>EBRA</t>
  </si>
  <si>
    <t>LBPDisclosure</t>
  </si>
  <si>
    <t>Lead-Based Paint Disclosure</t>
  </si>
  <si>
    <t>OtherDocs</t>
  </si>
  <si>
    <t>Other Documents</t>
  </si>
  <si>
    <t>HomeInspDisclosure</t>
  </si>
  <si>
    <t>Home Inspection Disclosure</t>
  </si>
  <si>
    <t>AntiFraudDisclosure</t>
  </si>
  <si>
    <t>Anti-Fraud Disclosure</t>
  </si>
  <si>
    <t>PreApprovalProof</t>
  </si>
  <si>
    <t>Pre-Approval Letter / Proof of Funds</t>
  </si>
  <si>
    <t>MLSStatusChange</t>
  </si>
  <si>
    <t>Change Status in MLS (If Our Listing)</t>
  </si>
  <si>
    <t>Action Items</t>
  </si>
  <si>
    <t>Required IF HHListing = Yes</t>
  </si>
  <si>
    <t>ZipFormsSaleFile</t>
  </si>
  <si>
    <t>Create Sale File in ZipForms</t>
  </si>
  <si>
    <t>ZipFormsEBRA</t>
  </si>
  <si>
    <t>SentToDataEntry</t>
  </si>
  <si>
    <t>Sent to Data Entry</t>
  </si>
  <si>
    <t>PrestartToTitle</t>
  </si>
  <si>
    <t>Prestart Sent to Title Company</t>
  </si>
  <si>
    <t>ScanNoticeHHMS</t>
  </si>
  <si>
    <t>Required IF HHSale = Yes</t>
  </si>
  <si>
    <t>LogSalesBook</t>
  </si>
  <si>
    <t>Log in Sales Book / Board</t>
  </si>
  <si>
    <t>FBPostWindowSheet</t>
  </si>
  <si>
    <t>RecordRobSpreadsheet</t>
  </si>
  <si>
    <t>Record on Rob's Spreadsheet</t>
  </si>
  <si>
    <t>RegisterBuyerEBRA</t>
  </si>
  <si>
    <t>Register Buyer in EBRA Database</t>
  </si>
  <si>
    <t>HWOrdered</t>
  </si>
  <si>
    <t>Home Warranty Ordered</t>
  </si>
  <si>
    <t>EMReceivedDeposited</t>
  </si>
  <si>
    <t>Earnest Money, Commission &amp; Home Warranty</t>
  </si>
  <si>
    <t>Required IF EMHold = HH</t>
  </si>
  <si>
    <t>EMDepositMethod</t>
  </si>
  <si>
    <t>Earnest Money Deposit Method</t>
  </si>
  <si>
    <t>EMSentAccounting</t>
  </si>
  <si>
    <t>Earnest Money Sent to Accounting</t>
  </si>
  <si>
    <t>CopyPDriveZipForms</t>
  </si>
  <si>
    <t>Copy in P: Drive / ZipForms</t>
  </si>
  <si>
    <t>CommInvoiceToTitle</t>
  </si>
  <si>
    <t>ManagerSalesSheet</t>
  </si>
  <si>
    <t>CommInvoicePDrive</t>
  </si>
  <si>
    <t>Commission Invoice — Drop in P Drive</t>
  </si>
  <si>
    <t>SocialMediaSoldPost</t>
  </si>
  <si>
    <t>Make Social Media SOLD Post</t>
  </si>
  <si>
    <t>Closed Sales</t>
  </si>
  <si>
    <t>MarkSoldMLS</t>
  </si>
  <si>
    <t>Mark Sold in MLS</t>
  </si>
  <si>
    <t>OrderSignDown</t>
  </si>
  <si>
    <t>Order Post Sign Down</t>
  </si>
  <si>
    <t>ZipFormsClosed</t>
  </si>
  <si>
    <t>Move to Closed in ZipForms</t>
  </si>
  <si>
    <t>RemoveWindowSheet</t>
  </si>
  <si>
    <t>Take Sheet Out of Front Window</t>
  </si>
  <si>
    <t>BOMBMLSStatus</t>
  </si>
  <si>
    <t>Change Status in MLS</t>
  </si>
  <si>
    <t>Fallen Sales (BOMB)</t>
  </si>
  <si>
    <t>BOMBMutualRelease</t>
  </si>
  <si>
    <t>Mutual Release &amp; PA to Susan Ipavec</t>
  </si>
  <si>
    <t>BOMBTitleNotified</t>
  </si>
  <si>
    <t>Title Company Notified</t>
  </si>
  <si>
    <t>BOMBCodedPP</t>
  </si>
  <si>
    <t>Coded in PP</t>
  </si>
  <si>
    <t>BOMBHWCanceled</t>
  </si>
  <si>
    <t>Home Warranty Notified / Canceled</t>
  </si>
  <si>
    <t>BOMBZipFormsStatus</t>
  </si>
  <si>
    <t>Change Status in ZipForms</t>
  </si>
  <si>
    <t>BOMBWindowSheet</t>
  </si>
  <si>
    <t>Change Front Window Sheet</t>
  </si>
  <si>
    <t>Property &amp; Transaction</t>
  </si>
  <si>
    <t>Address</t>
  </si>
  <si>
    <t>SignNum</t>
  </si>
  <si>
    <t>ListPrice</t>
  </si>
  <si>
    <t>OfferAcceptDt</t>
  </si>
  <si>
    <t>ClosingDt</t>
  </si>
  <si>
    <t>SalePrice</t>
  </si>
  <si>
    <t>Concessions</t>
  </si>
  <si>
    <t>Notes</t>
  </si>
  <si>
    <t>TitleCo</t>
  </si>
  <si>
    <t>TitleCoContact</t>
  </si>
  <si>
    <t>State</t>
  </si>
  <si>
    <t>ListAgentName</t>
  </si>
  <si>
    <t>ListAgentOffice</t>
  </si>
  <si>
    <t>SellAgentName</t>
  </si>
  <si>
    <t>SellAgentOffice</t>
  </si>
  <si>
    <t>HHListing</t>
  </si>
  <si>
    <t>HHSale</t>
  </si>
  <si>
    <t>CommFlatAmt</t>
  </si>
  <si>
    <t>CommPct</t>
  </si>
  <si>
    <t>ListingCommPct</t>
  </si>
  <si>
    <t>SaleCommPct</t>
  </si>
  <si>
    <t>TotalComm</t>
  </si>
  <si>
    <t>ListingSideAmt</t>
  </si>
  <si>
    <t>SaleSideAmt</t>
  </si>
  <si>
    <t>FlatFee</t>
  </si>
  <si>
    <t>FlatFeeAmt</t>
  </si>
  <si>
    <t>HHRevenue</t>
  </si>
  <si>
    <t>CommFlag</t>
  </si>
  <si>
    <t>EMAmt</t>
  </si>
  <si>
    <t>HomeWarranty</t>
  </si>
  <si>
    <t>HSA</t>
  </si>
  <si>
    <t>Address (Street, City Zip)</t>
  </si>
  <si>
    <t>Sign # (if our listing)</t>
  </si>
  <si>
    <t>List Price</t>
  </si>
  <si>
    <t>Offer Accepted Date</t>
  </si>
  <si>
    <t>Closing Date</t>
  </si>
  <si>
    <t>Sale Price</t>
  </si>
  <si>
    <t>Title Company Contact</t>
  </si>
  <si>
    <t>List Agent Name</t>
  </si>
  <si>
    <t>List Agent Office</t>
  </si>
  <si>
    <t>Sell Agent Name</t>
  </si>
  <si>
    <t>Sell Agent Office</t>
  </si>
  <si>
    <t>HH Listing?</t>
  </si>
  <si>
    <t>HH Sale?</t>
  </si>
  <si>
    <t>Commission Flat Amt</t>
  </si>
  <si>
    <t>Commission %</t>
  </si>
  <si>
    <t>Listing Commission %</t>
  </si>
  <si>
    <t>Sale Commission %</t>
  </si>
  <si>
    <t>Total Commission</t>
  </si>
  <si>
    <t>Listing Amt</t>
  </si>
  <si>
    <t>Sale Amt</t>
  </si>
  <si>
    <t>Flat Fee Amt</t>
  </si>
  <si>
    <t>HH Revenue</t>
  </si>
  <si>
    <t>Commission Flag</t>
  </si>
  <si>
    <t>Earnest Money Amt</t>
  </si>
  <si>
    <t>Earnest Money Holder</t>
  </si>
  <si>
    <t>Home Warranty?</t>
  </si>
  <si>
    <t>HSA?</t>
  </si>
  <si>
    <t>TXN-001</t>
  </si>
  <si>
    <t>OH</t>
  </si>
  <si>
    <t>Active</t>
  </si>
  <si>
    <t>Not Applicable</t>
  </si>
  <si>
    <t>Bucket</t>
  </si>
  <si>
    <t>YN</t>
  </si>
  <si>
    <t>FACT</t>
  </si>
  <si>
    <t>Fact</t>
  </si>
  <si>
    <t>Value</t>
  </si>
  <si>
    <t>Flat Fee</t>
  </si>
  <si>
    <t>Step</t>
  </si>
  <si>
    <t>Item</t>
  </si>
  <si>
    <t>Category</t>
  </si>
  <si>
    <t>ConditionalLogic (Logic)</t>
  </si>
  <si>
    <t>Earnest Money Received &amp; Deposited</t>
  </si>
  <si>
    <t>EM / Commission / HW</t>
  </si>
  <si>
    <t>Send Commission Invoice to Title Co.</t>
  </si>
  <si>
    <t>Add EBRA to Sale File in ZipForms (If Our Buyer)</t>
  </si>
  <si>
    <t>Scan Notice of Sale to HHMS (If Our Buyer)</t>
  </si>
  <si>
    <t>Make FB Post/Update Window Sheet (If Our Listing)</t>
  </si>
  <si>
    <t>Send Manager Sales Sheet to E-Sign (ZipForms + P Drive)</t>
  </si>
  <si>
    <t>CHECKLIST</t>
  </si>
  <si>
    <t>Column Header</t>
  </si>
  <si>
    <t>Type</t>
  </si>
  <si>
    <t>Format</t>
  </si>
  <si>
    <t>Source</t>
  </si>
  <si>
    <t>Input</t>
  </si>
  <si>
    <t>Dropdown</t>
  </si>
  <si>
    <t>Status[Status]</t>
  </si>
  <si>
    <t>General</t>
  </si>
  <si>
    <t>Short Date</t>
  </si>
  <si>
    <t/>
  </si>
  <si>
    <t>Source / Validation</t>
  </si>
  <si>
    <t>Required?</t>
  </si>
  <si>
    <t>Auto / VBA</t>
  </si>
  <si>
    <t>System-generated — NEVER editable</t>
  </si>
  <si>
    <t>Yes (Auto)</t>
  </si>
  <si>
    <t>Text</t>
  </si>
  <si>
    <t>Free text; duplicate-checked on entry</t>
  </si>
  <si>
    <t>Currency ($)</t>
  </si>
  <si>
    <t>Must be &gt; 0</t>
  </si>
  <si>
    <t>Must be &gt; 0; blank until offer accepted</t>
  </si>
  <si>
    <t>Must be ≤ ClosingDt</t>
  </si>
  <si>
    <t>Must be ≥ OfferAcceptDt</t>
  </si>
  <si>
    <t>Source: tblAgent[AgentName]</t>
  </si>
  <si>
    <t>Lookup</t>
  </si>
  <si>
    <t>=XLOOKUP([@ListAgentName],tblAgent[AgentName],tblAgent[Office],"")</t>
  </si>
  <si>
    <t>Auto</t>
  </si>
  <si>
    <t>=XLOOKUP([@SellAgentName],tblAgent[AgentName],tblAgent[Office],"")</t>
  </si>
  <si>
    <t>Calc</t>
  </si>
  <si>
    <t>Yes/No</t>
  </si>
  <si>
    <t>=IF([@ListAgentOffice]="HH","Yes","No")</t>
  </si>
  <si>
    <t>=IF([@SellAgentOffice]="HH","Yes","No")</t>
  </si>
  <si>
    <t>Source: tblLoanType[LoanType]</t>
  </si>
  <si>
    <t>Mutual exclusive with CommFlatAmt</t>
  </si>
  <si>
    <t>Conditional</t>
  </si>
  <si>
    <t>Used only when CommPct = 0</t>
  </si>
  <si>
    <t>Must be ≤ CommPct</t>
  </si>
  <si>
    <t>%</t>
  </si>
  <si>
    <t>=[@CommPct]-[@ListingCommPct]</t>
  </si>
  <si>
    <t>=IF([@CommPct]&gt;0,[@SalePrice]*[@CommPct],[@CommFlatAmt])</t>
  </si>
  <si>
    <t>Dollar amount for listing side</t>
  </si>
  <si>
    <t>Dollar amount for sale side</t>
  </si>
  <si>
    <t>Source: tblYN[YN]</t>
  </si>
  <si>
    <t>Range/Calc</t>
  </si>
  <si>
    <t>=$Fact$Value where Fact="Flat Fee" (currently $399)</t>
  </si>
  <si>
    <t>=IF([@HHListing]="Yes",[@ListingSideAmt],0)+IF([@HHSale]="Yes",[@SaleSideAmt],0)+IF([@FlatFee]="Yes",[@FlatFeeAmt],0)</t>
  </si>
  <si>
    <t>Text (alert)</t>
  </si>
  <si>
    <t>=IF([@ListingSideAmt]+[@SaleSideAmt]=0,"",IF(ABS([@TotalComm]-[@ListingSideAmt]-[@SaleSideAmt])&gt;1,"MISMATCH: $"&amp;[@TotalComm]&amp;" vs $"&amp;([@ListingSideAmt]+[@SaleSideAmt]),"OK"))</t>
  </si>
  <si>
    <t>Earnest money amount</t>
  </si>
  <si>
    <t>Source: tblEMHold[EMHold]</t>
  </si>
  <si>
    <t>Source: tblHWPay[HWPay]; visible only if HomeWarranty=Yes</t>
  </si>
  <si>
    <t>Title company name — free text</t>
  </si>
  <si>
    <t>Title company contact name — free text</t>
  </si>
  <si>
    <t>Sign number; required if HHListing=Yes</t>
  </si>
  <si>
    <t>Free text — seller concession notes</t>
  </si>
  <si>
    <t>Range/Default</t>
  </si>
  <si>
    <t>Default: OH (from tblFact)</t>
  </si>
  <si>
    <t>Free text notes</t>
  </si>
  <si>
    <t>TransStatus</t>
  </si>
  <si>
    <t>Active / Closed / BOMB</t>
  </si>
  <si>
    <t>CreatedDt</t>
  </si>
  <si>
    <t>=TODAY() — written by VBA on row creation</t>
  </si>
  <si>
    <t>Data</t>
  </si>
  <si>
    <t>Agent[AgentName]</t>
  </si>
  <si>
    <t>YN[YN]</t>
  </si>
  <si>
    <t>Loan Type?</t>
  </si>
  <si>
    <t>LoanType[Loan Type]</t>
  </si>
  <si>
    <t>EMHold[EMHold]</t>
  </si>
  <si>
    <t>Who is paying HW?</t>
  </si>
  <si>
    <t>HWPay[HWPay]</t>
  </si>
  <si>
    <t>IF([@ListAgentOffice]="HH","Yes","No")</t>
  </si>
  <si>
    <t>IF([@SellAgentOffice]="HH","Yes","No")</t>
  </si>
  <si>
    <t>IF([@[HHListing]]="Yes",[@ListingSideDollar],0)+IF([@[HHSale]]="Yes",[@SaleSideDollar],0)+[@[FlatFeeAmt]]</t>
  </si>
  <si>
    <t>IF([@ListingSideAmt]+[@SaleSideAmt]=0,"",IF(ABS([@TotalComm]- [@ListingSideAmt]-[@SaleSideAmt])&gt;1,"MISMATCH: $" &amp;[@TotalComm]&amp;" vs $" &amp; ([@ListingSideAmt]+[@SaleSideAmt]),"OK"))</t>
  </si>
  <si>
    <t>Range</t>
  </si>
  <si>
    <t>Range: FlatFee</t>
  </si>
  <si>
    <t>Range: State</t>
  </si>
  <si>
    <t>XLOOKUP([@ListAgentName],Agent[AgentName],Agent[Office],"")</t>
  </si>
  <si>
    <t>XLOOKUP([@SellAgentName],Agent[AgentName],Agent[Office],"")</t>
  </si>
  <si>
    <t>Type3</t>
  </si>
  <si>
    <t>HHSale-TotalComm</t>
  </si>
  <si>
    <t>IF(ListAgentOffice&gt;0,HomeWarranty*ListAgentOffice,State)</t>
  </si>
  <si>
    <t>Column</t>
  </si>
  <si>
    <t>Foreign Key</t>
  </si>
  <si>
    <t>Links to tblTransaction — do NOT edit manually</t>
  </si>
  <si>
    <t>undefined</t>
  </si>
  <si>
    <t>1–46</t>
  </si>
  <si>
    <t>Copied from tblStepTemplate on generation</t>
  </si>
  <si>
    <t>System-safe field name (no spaces)</t>
  </si>
  <si>
    <t>Human-readable step label</t>
  </si>
  <si>
    <t>Check Paperwork / Action Items / EM-Comm-HW / Closed / BOMB</t>
  </si>
  <si>
    <t>Source: tblStatus[Status] — primary user interaction</t>
  </si>
  <si>
    <t>CompletedDt</t>
  </si>
  <si>
    <t>Date this step was marked complete</t>
  </si>
  <si>
    <t>IsRequired</t>
  </si>
  <si>
    <t>Based on conditional logic from tblStepTemplate + transaction data</t>
  </si>
  <si>
    <t>Free text notes for this specific step</t>
  </si>
  <si>
    <t>Formula to Enter in First Data Row</t>
  </si>
  <si>
    <t>=IFERROR(XLOOKUP("Flat Fee",tblFact[Fact],tblFact[Value],399),399)</t>
  </si>
  <si>
    <t>=IFERROR(XLOOKUP("State",tblFact[Fact],tblFact[Value],"OH"),"OH")</t>
  </si>
  <si>
    <t>Data Validation Source</t>
  </si>
  <si>
    <t>=tblAgent[AgentName]</t>
  </si>
  <si>
    <t>=tblLoanType[LoanType]</t>
  </si>
  <si>
    <t>=tblEMHold[EMHold]</t>
  </si>
  <si>
    <t>=tblHWPay[HWPay]</t>
  </si>
  <si>
    <t>=tblYN[YN]</t>
  </si>
  <si>
    <t>Active,Closed,BOMB  (type directly)</t>
  </si>
  <si>
    <t>KPI / Named Range</t>
  </si>
  <si>
    <t>Formula</t>
  </si>
  <si>
    <t>Active Transactions (KPI cell)</t>
  </si>
  <si>
    <t>=COUNTIF(tblTransaction[TransStatus],"Active")</t>
  </si>
  <si>
    <t>Closing This Month</t>
  </si>
  <si>
    <t>=COUNTIFS(tblTransaction[ClosingDt],"&gt;="&amp;EOMONTH(TODAY(),-1)+1,tblTransaction[ClosingDt],"&lt;="&amp;EOMONTH(TODAY(),0))</t>
  </si>
  <si>
    <t>Total HH Revenue Active</t>
  </si>
  <si>
    <t>=SUMIF(tblTransaction[TransStatus],"Active",tblTransaction[HHRevenue])</t>
  </si>
  <si>
    <t>Commission Mismatches</t>
  </si>
  <si>
    <t>=COUNTIF(tblTransaction[CommFlag],"MISMATCH*")</t>
  </si>
  <si>
    <t>Overdue Steps</t>
  </si>
  <si>
    <t>=COUNTIFS(tblChecklist[Status],"&lt;&gt;Complete",tblChecklist[DueDt],"&lt;"&amp;TODAY())</t>
  </si>
  <si>
    <t>Closings Next 7 Days</t>
  </si>
  <si>
    <t>=COUNTIFS(tblTransaction[ClosingDt],"&gt;="&amp;TODAY(),tblTransaction[ClosingDt],"&lt;="&amp;TODAY()+7)</t>
  </si>
  <si>
    <t>Pct Steps Complete (one txn)</t>
  </si>
  <si>
    <t>=COUNTIFS(tblChecklist[TransactionID],A2,tblChecklist[Status],"Complete")/COUNTIF(tblChecklist[TransactionID],A2)</t>
  </si>
  <si>
    <t>Add New Agent</t>
  </si>
  <si>
    <t>Check</t>
  </si>
  <si>
    <t>▶ Input | Dropdown</t>
  </si>
  <si>
    <t>▶ Input | $</t>
  </si>
  <si>
    <t>▶ Input | %</t>
  </si>
  <si>
    <t>▶ Input | General</t>
  </si>
  <si>
    <t>▶ Input | Short Date</t>
  </si>
  <si>
    <t>🔑 Key | General</t>
  </si>
  <si>
    <t>Who is Paying HW?</t>
  </si>
  <si>
    <t>Flat Fee?</t>
  </si>
  <si>
    <t>Loan Type</t>
  </si>
  <si>
    <t>Transaction ID</t>
  </si>
  <si>
    <t>System</t>
  </si>
  <si>
    <t>📊  TRANSACTION FACT TABLE — One Row Per Sale</t>
  </si>
  <si>
    <t>⇒ Lookup | General</t>
  </si>
  <si>
    <t>∑ Calc | General</t>
  </si>
  <si>
    <t>∑ Calc | %</t>
  </si>
  <si>
    <t>∑ Calc | $</t>
  </si>
  <si>
    <t>~ Range | $</t>
  </si>
  <si>
    <t>Validation</t>
  </si>
  <si>
    <t>2026-001</t>
  </si>
  <si>
    <t>📊  TRANSACTION CALCULATION TABLE</t>
  </si>
  <si>
    <t>📝  TRANSACTION MASTER</t>
  </si>
  <si>
    <t>YYYY-001</t>
  </si>
  <si>
    <t>🏡  NEW TRANSACTION ENTRY FORM</t>
  </si>
  <si>
    <t>HH Realty Admin System  |  Complete all required fields (★) before saving</t>
  </si>
  <si>
    <t>📋  PROPERTY &amp; TRANSACTION INFORMATION</t>
  </si>
  <si>
    <t>★ Address (Street, City Zip)</t>
  </si>
  <si>
    <t>★ List Price</t>
  </si>
  <si>
    <t>★ Offer Accepted Date</t>
  </si>
  <si>
    <t>★ Loan Type</t>
  </si>
  <si>
    <t>★ List Agent Name</t>
  </si>
  <si>
    <t>★ Sell Agent Name</t>
  </si>
  <si>
    <t>💰  EARNEST MONEY, COMMISSION &amp; HOME WARRANTY</t>
  </si>
  <si>
    <t>★ Earnest Money Holder</t>
  </si>
  <si>
    <t>★ Home Warranty?</t>
  </si>
  <si>
    <t>📑  CHECKLIST — CHECK PAPERWORK</t>
  </si>
  <si>
    <t>1. MLS Printout</t>
  </si>
  <si>
    <t>3. Agency Disclosure</t>
  </si>
  <si>
    <t>4. Condo Addendum</t>
  </si>
  <si>
    <t>5. Consumer Guide</t>
  </si>
  <si>
    <t>6. Purchase Agreement</t>
  </si>
  <si>
    <t>7. ABA</t>
  </si>
  <si>
    <t>8. ABA (POD)</t>
  </si>
  <si>
    <t>9. Property Disclosure</t>
  </si>
  <si>
    <t>11. EBRA</t>
  </si>
  <si>
    <t>12. Lead-Based Paint Disclosure</t>
  </si>
  <si>
    <t>13. Other Documents</t>
  </si>
  <si>
    <t>14. Home Inspection Disclosure</t>
  </si>
  <si>
    <t>15. Anti-Fraud Disclosure</t>
  </si>
  <si>
    <t>16. Pre-Approval / Proof of Funds</t>
  </si>
  <si>
    <t>⚡  CHECKLIST — ACTION ITEMS</t>
  </si>
  <si>
    <t>18. Create Sale File in ZipForms</t>
  </si>
  <si>
    <t>20. Sent to Data Entry</t>
  </si>
  <si>
    <t>21. Prestart Sent to Title Co.</t>
  </si>
  <si>
    <t>23. Log in Sales Book</t>
  </si>
  <si>
    <t>25. Record on Rob's Spreadsheet</t>
  </si>
  <si>
    <t>💵  CHECKLIST — EM / COMMISSION / HOME WARRANTY</t>
  </si>
  <si>
    <t>31. Copy in P: Drive / ZipForms</t>
  </si>
  <si>
    <t>32. Comm Invoice to Title Co.</t>
  </si>
  <si>
    <t>33. Manager Sales Sheet to E-Sign</t>
  </si>
  <si>
    <t>34. Comm Invoice — P Drive</t>
  </si>
  <si>
    <t>✅  CHECKLIST — CLOSED SALES</t>
  </si>
  <si>
    <t>35. Social Media SOLD Post</t>
  </si>
  <si>
    <t>36. Mark Sold in MLS</t>
  </si>
  <si>
    <t>37. Order Post Sign Down</t>
  </si>
  <si>
    <t>38. Move to Closed in ZipForms</t>
  </si>
  <si>
    <t>39. Take Sheet Out of Window</t>
  </si>
  <si>
    <t>💣  CHECKLIST — FALLEN SALES (BOMB)</t>
  </si>
  <si>
    <t>40. Change Status in MLS</t>
  </si>
  <si>
    <t>41. Mutual Release to Susan</t>
  </si>
  <si>
    <t>42. Title Company Notified</t>
  </si>
  <si>
    <t>43. Coded in PP</t>
  </si>
  <si>
    <t>44. HW Notified / Canceled</t>
  </si>
  <si>
    <t>45. Change Status in ZipForms</t>
  </si>
  <si>
    <t>46. Change Front Window Sheet</t>
  </si>
  <si>
    <t>Entry Date</t>
  </si>
  <si>
    <t>998 Barn Swallow, Wadsworth 44281</t>
  </si>
  <si>
    <t>2026-008</t>
  </si>
  <si>
    <t>Closed Sale</t>
  </si>
  <si>
    <t>2026-004</t>
  </si>
  <si>
    <t>2026-003</t>
  </si>
  <si>
    <t>2026-002</t>
  </si>
  <si>
    <t>2026-005</t>
  </si>
  <si>
    <t xml:space="preserve">2. FHA/VA Addendum </t>
  </si>
  <si>
    <t xml:space="preserve">10. Home Warranty App </t>
  </si>
  <si>
    <t xml:space="preserve">24. FB Post/Window Sheet </t>
  </si>
  <si>
    <t xml:space="preserve">26. Register Buyer in EBRA </t>
  </si>
  <si>
    <t xml:space="preserve">27. Home Warranty Ordered </t>
  </si>
  <si>
    <t xml:space="preserve">17. Change Status in MLS </t>
  </si>
  <si>
    <t xml:space="preserve">19. Add EBRA to ZipForms </t>
  </si>
  <si>
    <t xml:space="preserve">22. Scan Notice to HHMS </t>
  </si>
  <si>
    <t xml:space="preserve">28. EM Received &amp; Deposited </t>
  </si>
  <si>
    <t xml:space="preserve">29. EM Deposit Method </t>
  </si>
  <si>
    <t xml:space="preserve">30. EM Sent to Accounting </t>
  </si>
  <si>
    <t>Transaction ID:</t>
  </si>
  <si>
    <t>Address:</t>
  </si>
  <si>
    <t>NEW VALUE</t>
  </si>
  <si>
    <t>CURRENT VALUE</t>
  </si>
  <si>
    <t>Field</t>
  </si>
  <si>
    <t>📝 EDIT TRANSACTION — Compare &amp; Update Values</t>
  </si>
  <si>
    <t>Select a Transaction ID to load current values. Edit 'NEW VALUE' fields to make changes.</t>
  </si>
  <si>
    <t>🔍 TRANSACTION SELECTION</t>
  </si>
  <si>
    <t>📋 PROPERTY &amp; TRANSACTION INFORMATION</t>
  </si>
  <si>
    <t>💰 EARNEST MONEY, COMMISSION &amp; HOME WARRANTY</t>
  </si>
  <si>
    <t>📑 CHECK PAPERWORK (16 items)</t>
  </si>
  <si>
    <t>12. Lead-Based Paint</t>
  </si>
  <si>
    <t>16. Pre-Approval/Proof of Funds</t>
  </si>
  <si>
    <t>⚡ ACTION ITEMS (11 items)</t>
  </si>
  <si>
    <t>18. Create Sale File ZipForms</t>
  </si>
  <si>
    <t>21. Prestart to Title</t>
  </si>
  <si>
    <t>25. Record Rob's Spreadsheet</t>
  </si>
  <si>
    <t>💵 EM / COMMISSION / HW ITEMS (7 items)</t>
  </si>
  <si>
    <t>31. Copy P: Drive/ZipForms</t>
  </si>
  <si>
    <t>32. Comm Invoice to Title</t>
  </si>
  <si>
    <t>33. Manager Sales Sheet</t>
  </si>
  <si>
    <t>34. Comm Invoice P Drive</t>
  </si>
  <si>
    <t>✅ CLOSED SALES (5 items)</t>
  </si>
  <si>
    <t>37. Order Sign Down</t>
  </si>
  <si>
    <t>38. Move to Closed ZipForms</t>
  </si>
  <si>
    <t>39. Remove Window Sheet</t>
  </si>
  <si>
    <t>💣 FALLEN SALES / BOMB (7 items) — Only if deal falls through</t>
  </si>
  <si>
    <t>40. BOMB: Change Status MLS</t>
  </si>
  <si>
    <t>41. BOMB: Mutual Release &amp; PA</t>
  </si>
  <si>
    <t>42. BOMB: Title Co Notified</t>
  </si>
  <si>
    <t>43. BOMB: Coded in PP</t>
  </si>
  <si>
    <t>44. BOMB: HW Canceled</t>
  </si>
  <si>
    <t>45. BOMB: ZipForms Status</t>
  </si>
  <si>
    <t>46. BOMB: Window Sheet</t>
  </si>
  <si>
    <t>📖 LEGEND &amp; INSTRUCTIONS</t>
  </si>
  <si>
    <t>29. EM Deposit Method</t>
  </si>
  <si>
    <t>28. EM Received &amp; Deposited</t>
  </si>
  <si>
    <t>30. EM Sent to Accounting</t>
  </si>
  <si>
    <t>17. Change Status MLS</t>
  </si>
  <si>
    <t>19. Add EBRA to ZipForms</t>
  </si>
  <si>
    <t>22. Scan Notice HHMS</t>
  </si>
  <si>
    <t>24. FB Post/Window Sheet</t>
  </si>
  <si>
    <t>26. Register Buyer EBRA</t>
  </si>
  <si>
    <t>27. Home Warranty Ordered</t>
  </si>
  <si>
    <t>2. FHA/VA Addendum</t>
  </si>
  <si>
    <t>10. Home Warranty App</t>
  </si>
  <si>
    <t>Sales Commission %</t>
  </si>
  <si>
    <t>133 Beck, Wadsworth 44281</t>
  </si>
  <si>
    <t>743 Bent Creek, Wadsworth 44281</t>
  </si>
  <si>
    <t>2644 Harpster, Rittman 44270</t>
  </si>
  <si>
    <t>1774 Hila Way, Wooster 44691</t>
  </si>
  <si>
    <t>744 Lawrence, Wadsworth 44281</t>
  </si>
  <si>
    <t>281 Park Pl, Wadsworth 44281</t>
  </si>
  <si>
    <t>92 30th, Barberton 44203</t>
  </si>
  <si>
    <t>455 Barrenwood, Wadsworth 44281</t>
  </si>
  <si>
    <t>5052 Catawba, Seville 44273</t>
  </si>
  <si>
    <t>216 N. Lyman, Wadsworth 44281</t>
  </si>
  <si>
    <t>6407 Southview, Clinton 44216</t>
  </si>
  <si>
    <t>1821 Myersville, Akron 44312</t>
  </si>
  <si>
    <t>96 W Ohio, Rittman 44270</t>
  </si>
  <si>
    <t>317 Ihrig, Wooster 44691</t>
  </si>
  <si>
    <t>6116 Boneta, Medina 44256</t>
  </si>
  <si>
    <t>2736 Applehill, Robertsville 44670</t>
  </si>
  <si>
    <t>552 Main #H, Wadsworth 44281</t>
  </si>
  <si>
    <t>1047 Ashwood, Wooster 44691</t>
  </si>
  <si>
    <t>18592 Edwards #169, Doylestown 44230</t>
  </si>
  <si>
    <t>536 Austin, Akron 44320</t>
  </si>
  <si>
    <t>349 E Hopocan, Barberton 44203</t>
  </si>
  <si>
    <t>12249 Whitman, Doylestown 44230</t>
  </si>
  <si>
    <t>3179 Vanderhoof, Clinton 44216</t>
  </si>
  <si>
    <t>CASH</t>
  </si>
  <si>
    <t>NA</t>
  </si>
  <si>
    <t>First Security</t>
  </si>
  <si>
    <t>Ohio Real Title</t>
  </si>
  <si>
    <t>Kropf (orrville Law)</t>
  </si>
  <si>
    <t>First Meridian</t>
  </si>
  <si>
    <t>Nova</t>
  </si>
  <si>
    <t>Brandy</t>
  </si>
  <si>
    <t>Leigh Frontz</t>
  </si>
  <si>
    <t>Marissa</t>
  </si>
  <si>
    <t>2026-006</t>
  </si>
  <si>
    <t>2026-007</t>
  </si>
  <si>
    <t>2026-009</t>
  </si>
  <si>
    <t>2026-010</t>
  </si>
  <si>
    <t>2026-011</t>
  </si>
  <si>
    <t>2026-012</t>
  </si>
  <si>
    <t>2026-013</t>
  </si>
  <si>
    <t>2026-014</t>
  </si>
  <si>
    <t>2026-015</t>
  </si>
  <si>
    <t>2026-016</t>
  </si>
  <si>
    <t>2026-017</t>
  </si>
  <si>
    <t>2026-018</t>
  </si>
  <si>
    <t>2026-019</t>
  </si>
  <si>
    <t>2026-020</t>
  </si>
  <si>
    <t>2026-021</t>
  </si>
  <si>
    <t>2026-022</t>
  </si>
  <si>
    <t>2026-023</t>
  </si>
  <si>
    <t>2026-024</t>
  </si>
  <si>
    <t>complete</t>
  </si>
  <si>
    <t>Not Received</t>
  </si>
  <si>
    <t>Wired</t>
  </si>
  <si>
    <t>na</t>
  </si>
  <si>
    <t>Progress</t>
  </si>
  <si>
    <t>📊 HH REALTY TRANSACTION DASHBOARD</t>
  </si>
  <si>
    <t>📈 ACTIVE TRANSACTIONS</t>
  </si>
  <si>
    <t>📅 CLOSING WITHIN 7 DAYS</t>
  </si>
  <si>
    <t>Address | Issue</t>
  </si>
  <si>
    <t>💰 TOTAL HH REVENUE</t>
  </si>
  <si>
    <t>Address | Progress | Status</t>
  </si>
  <si>
    <t>Address | Closing Date</t>
  </si>
  <si>
    <t>⚠️ COMMISSION ISSUES</t>
  </si>
  <si>
    <t>Address | Closing | EM Amt | Holder</t>
  </si>
  <si>
    <t>Address | Closing Date | Days Left</t>
  </si>
  <si>
    <t>💳 LOAN TYPE SUMMARY</t>
  </si>
  <si>
    <t>Loan Type | Count | Avg Sale Price</t>
  </si>
  <si>
    <t>💡 Dashboard updates automatically | ⚠️ Items sorted by urgency | Red sections = Immediate Action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</si>
</sst>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  <numFmt numFmtId="165" formatCode="&quot;$&quot;#,##0"/>
  </numFmts>
  <fonts count="39" x14ac:knownFonts="1">
    <font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sz val="9"/>
      <color rgb="FF000000"/>
      <name val="Arial"/>
      <family val="2"/>
    </font>
    <font>
      <b/>
      <sz val="12"/>
      <color rgb="FFFFFFFF"/>
      <name val="Arial"/>
      <family val="2"/>
    </font>
    <font>
      <b/>
      <sz val="9"/>
      <color rgb="FFFFFFFF"/>
      <name val="Arial"/>
      <family val="2"/>
    </font>
    <font>
      <b/>
      <sz val="9"/>
      <color rgb="FF1F3864"/>
      <name val="Arial"/>
      <family val="2"/>
    </font>
    <font>
      <sz val="11"/>
      <color rgb="FF006100"/>
      <name val="Calibri"/>
      <family val="2"/>
      <scheme val="minor"/>
    </font>
    <font>
      <b/>
      <sz val="9"/>
      <color rgb="FFFFFFFF"/>
      <name val="Arial"/>
      <family val="2"/>
    </font>
    <font>
      <b/>
      <sz val="9"/>
      <color rgb="FF1F3864"/>
      <name val="Arial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FFFFFF"/>
      <name val="Arial"/>
      <family val="2"/>
    </font>
    <font>
      <sz val="7"/>
      <color rgb="FF7F7F7F"/>
      <name val="Arial"/>
      <family val="2"/>
    </font>
    <font>
      <i/>
      <sz val="8"/>
      <color rgb="FF595959"/>
      <name val="Arial"/>
      <family val="2"/>
    </font>
    <font>
      <b/>
      <sz val="8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2"/>
      <color rgb="FFFFFFFF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FFFF"/>
      <name val="Calibri"/>
      <family val="2"/>
      <scheme val="minor"/>
    </font>
    <font>
      <b/>
      <sz val="14"/>
      <color rgb="FF2F54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666666"/>
      <name val="Calibri"/>
      <family val="2"/>
      <scheme val="minor"/>
    </font>
    <font>
      <b/>
      <sz val="18"/>
      <color rgb="FFFFFFFF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1"/>
      <color rgb="FFC65911"/>
      <name val="Calibri"/>
      <family val="2"/>
      <scheme val="minor"/>
    </font>
    <font>
      <b/>
      <sz val="11"/>
      <color rgb="FF375623"/>
      <name val="Calibri"/>
      <family val="2"/>
      <scheme val="minor"/>
    </font>
    <font>
      <b/>
      <sz val="16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8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20"/>
      <color rgb="FF1F4E79"/>
      <name val="Calibri"/>
      <family val="2"/>
      <scheme val="minor"/>
    </font>
    <font>
      <b/>
      <i/>
      <sz val="9"/>
      <color theme="1"/>
      <name val="Calibri"/>
      <family val="2"/>
      <scheme val="minor"/>
    </font>
  </fonts>
  <fills count="61">
    <fill>
      <patternFill patternType="none"/>
    </fill>
    <fill>
      <patternFill patternType="gray125"/>
    </fill>
    <fill>
      <patternFill patternType="solid">
        <fgColor rgb="FF1F3864"/>
      </patternFill>
    </fill>
    <fill>
      <patternFill patternType="solid">
        <fgColor rgb="FF2F5496"/>
      </patternFill>
    </fill>
    <fill>
      <patternFill patternType="solid">
        <fgColor rgb="FFBDD7EE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FFF2CC"/>
      </patternFill>
    </fill>
    <fill>
      <patternFill patternType="solid">
        <fgColor rgb="FF2E75B6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theme="9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843C0C"/>
      </patternFill>
    </fill>
    <fill>
      <patternFill patternType="solid">
        <fgColor rgb="FF7030A0"/>
      </patternFill>
    </fill>
    <fill>
      <patternFill patternType="solid">
        <fgColor rgb="FF4472C4"/>
      </patternFill>
    </fill>
    <fill>
      <patternFill patternType="solid">
        <fgColor rgb="FF375623"/>
      </patternFill>
    </fill>
    <fill>
      <patternFill patternType="solid">
        <fgColor rgb="FF1F3864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6DCE5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EEAF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E3F8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D5F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D59F"/>
        <bgColor indexed="64"/>
      </patternFill>
    </fill>
    <fill>
      <patternFill patternType="solid">
        <fgColor rgb="FFFFE59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E2D5F0"/>
        <bgColor indexed="64"/>
      </patternFill>
    </fill>
    <fill>
      <patternFill patternType="solid">
        <fgColor rgb="FFF2E6FF"/>
        <bgColor indexed="64"/>
      </patternFill>
    </fill>
    <fill>
      <patternFill patternType="solid">
        <fgColor rgb="FFFFE6E6"/>
        <bgColor indexed="64"/>
      </patternFill>
    </fill>
  </fills>
  <borders count="47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BF8F00"/>
      </left>
      <right style="thin">
        <color rgb="FFBF8F00"/>
      </right>
      <top/>
      <bottom style="thin">
        <color rgb="FFBF8F00"/>
      </bottom>
      <diagonal/>
    </border>
    <border>
      <left style="thin">
        <color rgb="FFBF8F00"/>
      </left>
      <right style="thin">
        <color rgb="FFBF8F00"/>
      </right>
      <top style="thin">
        <color rgb="FFBF8F00"/>
      </top>
      <bottom style="thin">
        <color rgb="FFFFE59B"/>
      </bottom>
      <diagonal/>
    </border>
    <border>
      <left style="thin">
        <color rgb="FFBF8F00"/>
      </left>
      <right style="thin">
        <color rgb="FFBF8F00"/>
      </right>
      <top style="thin">
        <color rgb="FFFFE59B"/>
      </top>
      <bottom style="thin">
        <color rgb="FFFFE59B"/>
      </bottom>
      <diagonal/>
    </border>
    <border>
      <left style="thin">
        <color rgb="FFBF8F00"/>
      </left>
      <right style="thin">
        <color rgb="FFBF8F00"/>
      </right>
      <top style="thin">
        <color rgb="FFFFE59B"/>
      </top>
      <bottom style="thin">
        <color rgb="FFBF8F00"/>
      </bottom>
      <diagonal/>
    </border>
    <border>
      <left style="thin">
        <color rgb="FF548235"/>
      </left>
      <right style="thin">
        <color rgb="FF548235"/>
      </right>
      <top style="thin">
        <color rgb="FF548235"/>
      </top>
      <bottom style="thin">
        <color rgb="FFB4D59F"/>
      </bottom>
      <diagonal/>
    </border>
    <border>
      <left style="thin">
        <color rgb="FF548235"/>
      </left>
      <right style="thin">
        <color rgb="FF548235"/>
      </right>
      <top style="thin">
        <color rgb="FFB4D59F"/>
      </top>
      <bottom style="thin">
        <color rgb="FFB4D59F"/>
      </bottom>
      <diagonal/>
    </border>
    <border>
      <left style="thin">
        <color rgb="FF548235"/>
      </left>
      <right style="thin">
        <color rgb="FF548235"/>
      </right>
      <top style="thin">
        <color rgb="FFB4D59F"/>
      </top>
      <bottom style="thin">
        <color rgb="FF548235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theme="7" tint="0.39994506668294322"/>
      </bottom>
      <diagonal/>
    </border>
    <border>
      <left style="thin">
        <color rgb="FF7030A0"/>
      </left>
      <right style="thin">
        <color rgb="FF7030A0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rgb="FF7030A0"/>
      </left>
      <right style="thin">
        <color rgb="FF7030A0"/>
      </right>
      <top style="thin">
        <color theme="7" tint="0.39994506668294322"/>
      </top>
      <bottom style="thin">
        <color rgb="FF7030A0"/>
      </bottom>
      <diagonal/>
    </border>
    <border>
      <left style="thin">
        <color rgb="FFC65911"/>
      </left>
      <right style="thin">
        <color rgb="FFC65911"/>
      </right>
      <top style="thin">
        <color rgb="FFC65911"/>
      </top>
      <bottom style="thin">
        <color theme="9" tint="0.39994506668294322"/>
      </bottom>
      <diagonal/>
    </border>
    <border>
      <left style="thin">
        <color rgb="FFC65911"/>
      </left>
      <right style="thin">
        <color rgb="FFC65911"/>
      </right>
      <top style="thin">
        <color theme="9" tint="0.39994506668294322"/>
      </top>
      <bottom style="thin">
        <color theme="9" tint="0.39994506668294322"/>
      </bottom>
      <diagonal/>
    </border>
    <border>
      <left style="thin">
        <color rgb="FFC65911"/>
      </left>
      <right style="thin">
        <color rgb="FFC65911"/>
      </right>
      <top style="thin">
        <color theme="9" tint="0.39994506668294322"/>
      </top>
      <bottom style="thin">
        <color rgb="FFC65911"/>
      </bottom>
      <diagonal/>
    </border>
    <border>
      <left style="thin">
        <color rgb="FF375623"/>
      </left>
      <right style="thin">
        <color rgb="FF375623"/>
      </right>
      <top style="thin">
        <color rgb="FF375623"/>
      </top>
      <bottom style="thin">
        <color rgb="FF93E1A2"/>
      </bottom>
      <diagonal/>
    </border>
    <border>
      <left style="thin">
        <color rgb="FF375623"/>
      </left>
      <right style="thin">
        <color rgb="FF375623"/>
      </right>
      <top style="thin">
        <color rgb="FF93E1A2"/>
      </top>
      <bottom style="thin">
        <color rgb="FF93E1A2"/>
      </bottom>
      <diagonal/>
    </border>
    <border>
      <left style="thin">
        <color rgb="FF375623"/>
      </left>
      <right style="thin">
        <color rgb="FF375623"/>
      </right>
      <top style="thin">
        <color rgb="FF93E1A2"/>
      </top>
      <bottom style="thin">
        <color rgb="FF375623"/>
      </bottom>
      <diagonal/>
    </border>
    <border>
      <left style="thin">
        <color rgb="FF1F4E79"/>
      </left>
      <right style="thin">
        <color rgb="FF1F4E79"/>
      </right>
      <top style="thin">
        <color rgb="FF1F4E79"/>
      </top>
      <bottom style="thin">
        <color theme="4" tint="0.59996337778862885"/>
      </bottom>
      <diagonal/>
    </border>
    <border>
      <left style="thin">
        <color rgb="FF1F4E79"/>
      </left>
      <right style="thin">
        <color rgb="FF1F4E79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rgb="FF1F4E79"/>
      </left>
      <right style="thin">
        <color rgb="FF1F4E79"/>
      </right>
      <top style="thin">
        <color theme="4" tint="0.59996337778862885"/>
      </top>
      <bottom style="thin">
        <color rgb="FF1F4E79"/>
      </bottom>
      <diagonal/>
    </border>
    <border>
      <left style="thin">
        <color rgb="FFC00000"/>
      </left>
      <right style="thin">
        <color rgb="FFC00000"/>
      </right>
      <top style="thin">
        <color rgb="FFC00000"/>
      </top>
      <bottom style="thin">
        <color theme="5" tint="0.59996337778862885"/>
      </bottom>
      <diagonal/>
    </border>
    <border>
      <left style="thin">
        <color rgb="FFC00000"/>
      </left>
      <right style="thin">
        <color rgb="FFC00000"/>
      </right>
      <top style="thin">
        <color theme="5" tint="0.59996337778862885"/>
      </top>
      <bottom style="thin">
        <color theme="5" tint="0.59996337778862885"/>
      </bottom>
      <diagonal/>
    </border>
    <border>
      <left style="thin">
        <color rgb="FFC00000"/>
      </left>
      <right style="thin">
        <color rgb="FFC00000"/>
      </right>
      <top style="thin">
        <color theme="5" tint="0.59996337778862885"/>
      </top>
      <bottom style="thin">
        <color rgb="FFC00000"/>
      </bottom>
      <diagonal/>
    </border>
    <border>
      <left style="thin">
        <color rgb="FF548235"/>
      </left>
      <right style="thin">
        <color rgb="FF548235"/>
      </right>
      <top style="thin">
        <color rgb="FFB4D59F"/>
      </top>
      <bottom style="thin">
        <color indexed="64"/>
      </bottom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 style="thin">
        <color rgb="FFBFBFBF"/>
      </left>
      <right style="thin">
        <color rgb="FFBFBFBF"/>
      </right>
      <top/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/>
    <xf numFmtId="0" fontId="6" fillId="11" borderId="0" applyNumberFormat="0" applyBorder="0" applyAlignment="0" applyProtection="0"/>
    <xf numFmtId="4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14" borderId="0" applyNumberFormat="0" applyBorder="0" applyAlignment="0" applyProtection="0"/>
  </cellStyleXfs>
  <cellXfs count="281">
    <xf numFmtId="0" fontId="0" fillId="0" borderId="0" xfId="0"/>
    <xf numFmtId="0" fontId="2" fillId="5" borderId="1" xfId="0" applyFont="1" applyFill="1" applyBorder="1" applyAlignment="1">
      <alignment horizontal="left" vertical="center" wrapText="1"/>
    </xf>
    <xf numFmtId="0" fontId="2" fillId="6" borderId="1" xfId="0" applyFont="1" applyFill="1" applyBorder="1" applyAlignment="1">
      <alignment horizontal="left" vertical="center" wrapText="1"/>
    </xf>
    <xf numFmtId="0" fontId="2" fillId="7" borderId="1" xfId="0" applyFont="1" applyFill="1" applyBorder="1" applyAlignment="1">
      <alignment horizontal="left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2" fillId="9" borderId="1" xfId="0" applyFont="1" applyFill="1" applyBorder="1" applyAlignment="1">
      <alignment horizontal="left" vertical="center" wrapText="1"/>
    </xf>
    <xf numFmtId="0" fontId="2" fillId="10" borderId="1" xfId="0" applyFont="1" applyFill="1" applyBorder="1" applyAlignment="1">
      <alignment horizontal="left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0" fillId="12" borderId="0" xfId="0" applyFill="1"/>
    <xf numFmtId="10" fontId="0" fillId="0" borderId="0" xfId="0" applyNumberFormat="1"/>
    <xf numFmtId="0" fontId="6" fillId="11" borderId="2" xfId="1" applyBorder="1"/>
    <xf numFmtId="0" fontId="0" fillId="0" borderId="0" xfId="0" applyAlignment="1">
      <alignment horizontal="center"/>
    </xf>
    <xf numFmtId="0" fontId="13" fillId="2" borderId="4" xfId="0" applyFont="1" applyFill="1" applyBorder="1" applyAlignment="1">
      <alignment horizontal="center" vertical="center" wrapText="1"/>
    </xf>
    <xf numFmtId="0" fontId="13" fillId="16" borderId="4" xfId="0" applyFont="1" applyFill="1" applyBorder="1" applyAlignment="1">
      <alignment horizontal="center" vertical="center" wrapText="1"/>
    </xf>
    <xf numFmtId="0" fontId="13" fillId="17" borderId="5" xfId="0" applyFont="1" applyFill="1" applyBorder="1" applyAlignment="1">
      <alignment horizontal="center" vertical="center" wrapText="1"/>
    </xf>
    <xf numFmtId="0" fontId="14" fillId="13" borderId="1" xfId="0" applyFont="1" applyFill="1" applyBorder="1" applyAlignment="1">
      <alignment horizontal="center" vertical="center" wrapText="1"/>
    </xf>
    <xf numFmtId="0" fontId="15" fillId="13" borderId="1" xfId="0" applyFont="1" applyFill="1" applyBorder="1" applyAlignment="1">
      <alignment horizontal="center" vertical="center" wrapText="1"/>
    </xf>
    <xf numFmtId="0" fontId="0" fillId="0" borderId="6" xfId="0" applyBorder="1"/>
    <xf numFmtId="0" fontId="13" fillId="18" borderId="1" xfId="0" applyFont="1" applyFill="1" applyBorder="1" applyAlignment="1">
      <alignment horizontal="center" vertical="center" wrapText="1"/>
    </xf>
    <xf numFmtId="0" fontId="13" fillId="18" borderId="4" xfId="0" applyFont="1" applyFill="1" applyBorder="1" applyAlignment="1">
      <alignment horizontal="center" vertical="center" wrapText="1"/>
    </xf>
    <xf numFmtId="0" fontId="13" fillId="19" borderId="4" xfId="0" applyFont="1" applyFill="1" applyBorder="1" applyAlignment="1">
      <alignment horizontal="center" vertical="center" wrapText="1"/>
    </xf>
    <xf numFmtId="0" fontId="13" fillId="17" borderId="1" xfId="0" applyFont="1" applyFill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center" vertical="center" wrapText="1"/>
    </xf>
    <xf numFmtId="0" fontId="13" fillId="20" borderId="4" xfId="0" applyFont="1" applyFill="1" applyBorder="1" applyAlignment="1">
      <alignment horizontal="center" vertical="center" wrapText="1"/>
    </xf>
    <xf numFmtId="0" fontId="0" fillId="0" borderId="0" xfId="0"/>
    <xf numFmtId="0" fontId="3" fillId="2" borderId="0" xfId="0" applyFont="1" applyFill="1" applyAlignment="1">
      <alignment horizontal="center" vertical="center" wrapText="1"/>
    </xf>
    <xf numFmtId="0" fontId="11" fillId="15" borderId="0" xfId="4" applyFill="1" applyAlignment="1">
      <alignment horizontal="center"/>
    </xf>
    <xf numFmtId="0" fontId="4" fillId="3" borderId="0" xfId="0" applyFont="1" applyFill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0" fontId="13" fillId="8" borderId="1" xfId="0" applyFont="1" applyFill="1" applyBorder="1" applyAlignment="1">
      <alignment horizontal="center" vertical="center" wrapText="1"/>
    </xf>
    <xf numFmtId="0" fontId="0" fillId="0" borderId="6" xfId="0" applyBorder="1"/>
    <xf numFmtId="0" fontId="13" fillId="16" borderId="7" xfId="0" applyFont="1" applyFill="1" applyBorder="1" applyAlignment="1">
      <alignment horizontal="center" vertical="center" wrapText="1"/>
    </xf>
    <xf numFmtId="0" fontId="13" fillId="16" borderId="6" xfId="0" applyFont="1" applyFill="1" applyBorder="1" applyAlignment="1">
      <alignment horizontal="center" vertical="center" wrapText="1"/>
    </xf>
    <xf numFmtId="0" fontId="13" fillId="16" borderId="3" xfId="0" applyFont="1" applyFill="1" applyBorder="1" applyAlignment="1">
      <alignment horizontal="center" vertical="center" wrapText="1"/>
    </xf>
    <xf numFmtId="0" fontId="13" fillId="16" borderId="1" xfId="0" applyFont="1" applyFill="1" applyBorder="1" applyAlignment="1">
      <alignment horizontal="center" vertical="center" wrapText="1"/>
    </xf>
    <xf numFmtId="0" fontId="0" fillId="0" borderId="3" xfId="0" applyBorder="1"/>
    <xf numFmtId="0" fontId="13" fillId="8" borderId="7" xfId="0" applyFont="1" applyFill="1" applyBorder="1" applyAlignment="1">
      <alignment horizontal="center" vertical="center" wrapText="1"/>
    </xf>
    <xf numFmtId="0" fontId="13" fillId="8" borderId="6" xfId="0" applyFont="1" applyFill="1" applyBorder="1" applyAlignment="1">
      <alignment horizontal="center" vertical="center" wrapText="1"/>
    </xf>
    <xf numFmtId="0" fontId="19" fillId="21" borderId="0" xfId="0" applyFont="1" applyFill="1" applyAlignment="1">
      <alignment horizontal="center"/>
    </xf>
    <xf numFmtId="0" fontId="21" fillId="22" borderId="0" xfId="0" applyFont="1" applyFill="1" applyAlignment="1">
      <alignment horizontal="center"/>
    </xf>
    <xf numFmtId="0" fontId="22" fillId="23" borderId="0" xfId="0" applyFont="1" applyFill="1"/>
    <xf numFmtId="0" fontId="17" fillId="0" borderId="0" xfId="0" applyFont="1"/>
    <xf numFmtId="0" fontId="17" fillId="0" borderId="0" xfId="0" applyFont="1" applyAlignment="1">
      <alignment horizontal="right" vertical="center"/>
    </xf>
    <xf numFmtId="0" fontId="17" fillId="0" borderId="0" xfId="0" applyFont="1" applyFill="1" applyBorder="1" applyAlignment="1">
      <alignment horizontal="right" vertical="center"/>
    </xf>
    <xf numFmtId="0" fontId="22" fillId="23" borderId="0" xfId="0" applyFont="1" applyFill="1" applyBorder="1" applyAlignment="1">
      <alignment horizontal="right" vertical="center"/>
    </xf>
    <xf numFmtId="0" fontId="23" fillId="26" borderId="0" xfId="0" applyFont="1" applyFill="1" applyBorder="1" applyAlignment="1">
      <alignment horizontal="right" vertical="center"/>
    </xf>
    <xf numFmtId="0" fontId="23" fillId="28" borderId="0" xfId="0" applyFont="1" applyFill="1" applyBorder="1" applyAlignment="1">
      <alignment horizontal="right" vertical="center"/>
    </xf>
    <xf numFmtId="0" fontId="23" fillId="30" borderId="0" xfId="0" applyFont="1" applyFill="1" applyBorder="1" applyAlignment="1">
      <alignment horizontal="right" vertical="center"/>
    </xf>
    <xf numFmtId="0" fontId="23" fillId="32" borderId="0" xfId="0" applyFont="1" applyFill="1" applyBorder="1" applyAlignment="1">
      <alignment horizontal="right" vertical="center"/>
    </xf>
    <xf numFmtId="0" fontId="23" fillId="34" borderId="0" xfId="0" applyFont="1" applyFill="1" applyBorder="1" applyAlignment="1">
      <alignment horizontal="right" vertical="center"/>
    </xf>
    <xf numFmtId="0" fontId="24" fillId="0" borderId="0" xfId="0" applyFont="1" applyFill="1" applyBorder="1" applyAlignment="1">
      <alignment horizontal="right" vertical="center"/>
    </xf>
    <xf numFmtId="0" fontId="25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10" fontId="0" fillId="38" borderId="16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37" borderId="13" xfId="0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164" fontId="0" fillId="38" borderId="17" xfId="0" applyNumberFormat="1" applyFill="1" applyBorder="1" applyAlignment="1">
      <alignment horizontal="center" vertical="center"/>
    </xf>
    <xf numFmtId="164" fontId="0" fillId="38" borderId="33" xfId="0" applyNumberFormat="1" applyFill="1" applyBorder="1" applyAlignment="1">
      <alignment horizontal="center" vertical="center"/>
    </xf>
    <xf numFmtId="165" fontId="0" fillId="0" borderId="0" xfId="0" applyNumberFormat="1"/>
    <xf numFmtId="164" fontId="0" fillId="0" borderId="0" xfId="0" applyNumberFormat="1"/>
    <xf numFmtId="0" fontId="12" fillId="5" borderId="0" xfId="0" applyFont="1" applyFill="1" applyBorder="1" applyAlignment="1">
      <alignment horizontal="center" vertical="center"/>
    </xf>
    <xf numFmtId="14" fontId="12" fillId="5" borderId="0" xfId="0" applyNumberFormat="1" applyFont="1" applyFill="1" applyBorder="1" applyAlignment="1">
      <alignment horizontal="center" vertical="center"/>
    </xf>
    <xf numFmtId="164" fontId="12" fillId="5" borderId="0" xfId="2" applyNumberFormat="1" applyFont="1" applyFill="1" applyBorder="1" applyAlignment="1">
      <alignment horizontal="center" vertical="center"/>
    </xf>
    <xf numFmtId="6" fontId="12" fillId="5" borderId="0" xfId="0" applyNumberFormat="1" applyFont="1" applyFill="1" applyBorder="1" applyAlignment="1">
      <alignment horizontal="center" vertical="center"/>
    </xf>
    <xf numFmtId="14" fontId="12" fillId="39" borderId="3" xfId="0" applyNumberFormat="1" applyFont="1" applyFill="1" applyBorder="1" applyAlignment="1">
      <alignment horizontal="center" vertical="center"/>
    </xf>
    <xf numFmtId="0" fontId="12" fillId="5" borderId="35" xfId="0" applyFont="1" applyFill="1" applyBorder="1" applyAlignment="1">
      <alignment horizontal="center" vertical="center"/>
    </xf>
    <xf numFmtId="14" fontId="12" fillId="39" borderId="1" xfId="0" applyNumberFormat="1" applyFont="1" applyFill="1" applyBorder="1" applyAlignment="1">
      <alignment horizontal="center" vertical="center"/>
    </xf>
    <xf numFmtId="0" fontId="12" fillId="39" borderId="1" xfId="0" applyFont="1" applyFill="1" applyBorder="1" applyAlignment="1">
      <alignment horizontal="center" vertical="center"/>
    </xf>
    <xf numFmtId="164" fontId="12" fillId="5" borderId="36" xfId="0" applyNumberFormat="1" applyFont="1" applyFill="1" applyBorder="1" applyAlignment="1">
      <alignment horizontal="center" vertical="center"/>
    </xf>
    <xf numFmtId="10" fontId="12" fillId="5" borderId="37" xfId="3" applyNumberFormat="1" applyFont="1" applyFill="1" applyBorder="1" applyAlignment="1">
      <alignment horizontal="center" vertical="center"/>
    </xf>
    <xf numFmtId="164" fontId="12" fillId="5" borderId="37" xfId="0" applyNumberFormat="1" applyFont="1" applyFill="1" applyBorder="1" applyAlignment="1">
      <alignment horizontal="center" vertical="center"/>
    </xf>
    <xf numFmtId="164" fontId="12" fillId="5" borderId="35" xfId="0" applyNumberFormat="1" applyFont="1" applyFill="1" applyBorder="1" applyAlignment="1">
      <alignment horizontal="center" vertical="center"/>
    </xf>
    <xf numFmtId="7" fontId="12" fillId="5" borderId="36" xfId="2" applyNumberFormat="1" applyFont="1" applyFill="1" applyBorder="1" applyAlignment="1">
      <alignment horizontal="center" vertical="center"/>
    </xf>
    <xf numFmtId="44" fontId="12" fillId="39" borderId="1" xfId="2" applyFont="1" applyFill="1" applyBorder="1" applyAlignment="1">
      <alignment horizontal="center" vertical="center"/>
    </xf>
    <xf numFmtId="0" fontId="12" fillId="5" borderId="0" xfId="0" applyNumberFormat="1" applyFont="1" applyFill="1" applyBorder="1" applyAlignment="1">
      <alignment horizontal="center" vertical="center"/>
    </xf>
    <xf numFmtId="0" fontId="12" fillId="39" borderId="1" xfId="0" applyNumberFormat="1" applyFont="1" applyFill="1" applyBorder="1" applyAlignment="1">
      <alignment horizontal="center" vertical="center"/>
    </xf>
    <xf numFmtId="10" fontId="12" fillId="5" borderId="36" xfId="3" applyNumberFormat="1" applyFont="1" applyFill="1" applyBorder="1" applyAlignment="1">
      <alignment horizontal="center" vertical="center"/>
    </xf>
    <xf numFmtId="164" fontId="12" fillId="39" borderId="1" xfId="0" applyNumberFormat="1" applyFont="1" applyFill="1" applyBorder="1" applyAlignment="1">
      <alignment horizontal="center" vertical="center"/>
    </xf>
    <xf numFmtId="0" fontId="0" fillId="38" borderId="0" xfId="0" applyFill="1" applyAlignment="1">
      <alignment horizontal="center"/>
    </xf>
    <xf numFmtId="0" fontId="0" fillId="40" borderId="0" xfId="0" applyFill="1" applyAlignment="1">
      <alignment horizontal="center"/>
    </xf>
    <xf numFmtId="0" fontId="0" fillId="41" borderId="0" xfId="0" applyFill="1" applyAlignment="1">
      <alignment horizontal="center"/>
    </xf>
    <xf numFmtId="0" fontId="13" fillId="16" borderId="7" xfId="0" applyFont="1" applyFill="1" applyBorder="1" applyAlignment="1">
      <alignment vertical="center" wrapText="1"/>
    </xf>
    <xf numFmtId="0" fontId="13" fillId="16" borderId="6" xfId="0" applyFont="1" applyFill="1" applyBorder="1" applyAlignment="1">
      <alignment vertical="center" wrapText="1"/>
    </xf>
    <xf numFmtId="0" fontId="13" fillId="42" borderId="0" xfId="0" applyFont="1" applyFill="1" applyBorder="1" applyAlignment="1">
      <alignment horizontal="center" vertical="center" wrapText="1"/>
    </xf>
    <xf numFmtId="0" fontId="13" fillId="8" borderId="3" xfId="0" applyFont="1" applyFill="1" applyBorder="1" applyAlignment="1">
      <alignment horizontal="center" vertical="center" wrapText="1"/>
    </xf>
    <xf numFmtId="0" fontId="13" fillId="26" borderId="1" xfId="0" applyFont="1" applyFill="1" applyBorder="1" applyAlignment="1">
      <alignment horizontal="center" vertical="center" wrapText="1"/>
    </xf>
    <xf numFmtId="14" fontId="12" fillId="39" borderId="3" xfId="2" applyNumberFormat="1" applyFont="1" applyFill="1" applyBorder="1" applyAlignment="1">
      <alignment horizontal="center" vertical="center"/>
    </xf>
    <xf numFmtId="14" fontId="12" fillId="39" borderId="3" xfId="3" applyNumberFormat="1" applyFont="1" applyFill="1" applyBorder="1" applyAlignment="1">
      <alignment horizontal="center" vertical="center"/>
    </xf>
    <xf numFmtId="14" fontId="12" fillId="39" borderId="6" xfId="0" applyNumberFormat="1" applyFont="1" applyFill="1" applyBorder="1" applyAlignment="1">
      <alignment horizontal="center" vertical="center"/>
    </xf>
    <xf numFmtId="0" fontId="0" fillId="37" borderId="14" xfId="0" applyFill="1" applyBorder="1" applyAlignment="1">
      <alignment horizontal="center" vertical="center"/>
    </xf>
    <xf numFmtId="0" fontId="0" fillId="24" borderId="12" xfId="0" applyFill="1" applyBorder="1" applyAlignment="1" applyProtection="1">
      <alignment horizontal="center" vertical="center"/>
      <protection locked="0"/>
    </xf>
    <xf numFmtId="165" fontId="0" fillId="24" borderId="13" xfId="0" applyNumberFormat="1" applyFill="1" applyBorder="1" applyAlignment="1" applyProtection="1">
      <alignment horizontal="center" vertical="center"/>
      <protection locked="0"/>
    </xf>
    <xf numFmtId="0" fontId="0" fillId="24" borderId="13" xfId="0" applyFill="1" applyBorder="1" applyAlignment="1" applyProtection="1">
      <alignment horizontal="center" vertical="center"/>
      <protection locked="0"/>
    </xf>
    <xf numFmtId="14" fontId="0" fillId="24" borderId="13" xfId="0" applyNumberFormat="1" applyFill="1" applyBorder="1" applyAlignment="1" applyProtection="1">
      <alignment horizontal="center" vertical="center"/>
      <protection locked="0"/>
    </xf>
    <xf numFmtId="0" fontId="0" fillId="24" borderId="11" xfId="0" applyFill="1" applyBorder="1" applyAlignment="1" applyProtection="1">
      <alignment horizontal="center" vertical="center"/>
      <protection locked="0"/>
    </xf>
    <xf numFmtId="14" fontId="0" fillId="24" borderId="12" xfId="0" applyNumberFormat="1" applyFill="1" applyBorder="1" applyAlignment="1" applyProtection="1">
      <alignment horizontal="center" vertical="center"/>
      <protection locked="0"/>
    </xf>
    <xf numFmtId="164" fontId="0" fillId="25" borderId="15" xfId="0" applyNumberFormat="1" applyFill="1" applyBorder="1" applyAlignment="1" applyProtection="1">
      <alignment horizontal="center" vertical="center"/>
      <protection locked="0"/>
    </xf>
    <xf numFmtId="10" fontId="0" fillId="25" borderId="16" xfId="0" applyNumberFormat="1" applyFill="1" applyBorder="1" applyAlignment="1" applyProtection="1">
      <alignment horizontal="center" vertical="center"/>
      <protection locked="0"/>
    </xf>
    <xf numFmtId="164" fontId="0" fillId="25" borderId="16" xfId="0" applyNumberFormat="1" applyFill="1" applyBorder="1" applyAlignment="1" applyProtection="1">
      <alignment horizontal="center" vertical="center"/>
      <protection locked="0"/>
    </xf>
    <xf numFmtId="0" fontId="0" fillId="25" borderId="16" xfId="0" applyFill="1" applyBorder="1" applyAlignment="1" applyProtection="1">
      <alignment horizontal="center" vertical="center"/>
      <protection locked="0"/>
    </xf>
    <xf numFmtId="0" fontId="0" fillId="27" borderId="18" xfId="0" applyFill="1" applyBorder="1" applyAlignment="1" applyProtection="1">
      <alignment horizontal="center" vertical="center"/>
      <protection locked="0"/>
    </xf>
    <xf numFmtId="0" fontId="0" fillId="27" borderId="19" xfId="0" applyFill="1" applyBorder="1" applyAlignment="1" applyProtection="1">
      <alignment horizontal="center" vertical="center"/>
      <protection locked="0"/>
    </xf>
    <xf numFmtId="0" fontId="0" fillId="27" borderId="20" xfId="0" applyFill="1" applyBorder="1" applyAlignment="1" applyProtection="1">
      <alignment horizontal="center" vertical="center"/>
      <protection locked="0"/>
    </xf>
    <xf numFmtId="0" fontId="0" fillId="29" borderId="21" xfId="0" applyFill="1" applyBorder="1" applyAlignment="1" applyProtection="1">
      <alignment horizontal="center" vertical="center"/>
      <protection locked="0"/>
    </xf>
    <xf numFmtId="0" fontId="0" fillId="29" borderId="22" xfId="0" applyFill="1" applyBorder="1" applyAlignment="1" applyProtection="1">
      <alignment horizontal="center" vertical="center"/>
      <protection locked="0"/>
    </xf>
    <xf numFmtId="0" fontId="0" fillId="29" borderId="23" xfId="0" applyFill="1" applyBorder="1" applyAlignment="1" applyProtection="1">
      <alignment horizontal="center" vertical="center"/>
      <protection locked="0"/>
    </xf>
    <xf numFmtId="14" fontId="0" fillId="31" borderId="24" xfId="0" applyNumberFormat="1" applyFill="1" applyBorder="1" applyAlignment="1" applyProtection="1">
      <alignment horizontal="center" vertical="center"/>
      <protection locked="0"/>
    </xf>
    <xf numFmtId="0" fontId="0" fillId="31" borderId="25" xfId="0" applyFill="1" applyBorder="1" applyAlignment="1" applyProtection="1">
      <alignment horizontal="center" vertical="center"/>
      <protection locked="0"/>
    </xf>
    <xf numFmtId="14" fontId="0" fillId="31" borderId="25" xfId="0" applyNumberFormat="1" applyFill="1" applyBorder="1" applyAlignment="1" applyProtection="1">
      <alignment horizontal="center" vertical="center"/>
      <protection locked="0"/>
    </xf>
    <xf numFmtId="0" fontId="0" fillId="31" borderId="26" xfId="0" applyFill="1" applyBorder="1" applyAlignment="1" applyProtection="1">
      <alignment horizontal="center" vertical="center"/>
      <protection locked="0"/>
    </xf>
    <xf numFmtId="0" fontId="0" fillId="33" borderId="27" xfId="0" applyFill="1" applyBorder="1" applyAlignment="1" applyProtection="1">
      <alignment horizontal="center" vertical="center"/>
      <protection locked="0"/>
    </xf>
    <xf numFmtId="0" fontId="0" fillId="33" borderId="28" xfId="0" applyFill="1" applyBorder="1" applyAlignment="1" applyProtection="1">
      <alignment horizontal="center" vertical="center"/>
      <protection locked="0"/>
    </xf>
    <xf numFmtId="0" fontId="0" fillId="33" borderId="29" xfId="0" applyFill="1" applyBorder="1" applyAlignment="1" applyProtection="1">
      <alignment horizontal="center" vertical="center"/>
      <protection locked="0"/>
    </xf>
    <xf numFmtId="0" fontId="0" fillId="35" borderId="30" xfId="0" applyFill="1" applyBorder="1" applyAlignment="1" applyProtection="1">
      <alignment horizontal="center" vertical="center"/>
      <protection locked="0"/>
    </xf>
    <xf numFmtId="0" fontId="0" fillId="35" borderId="31" xfId="0" applyFill="1" applyBorder="1" applyAlignment="1" applyProtection="1">
      <alignment horizontal="center" vertical="center"/>
      <protection locked="0"/>
    </xf>
    <xf numFmtId="0" fontId="0" fillId="35" borderId="32" xfId="0" applyFill="1" applyBorder="1" applyAlignment="1" applyProtection="1">
      <alignment horizontal="center" vertical="center"/>
      <protection locked="0"/>
    </xf>
    <xf numFmtId="0" fontId="28" fillId="44" borderId="0" xfId="0" applyFont="1" applyFill="1" applyAlignment="1">
      <alignment horizontal="center"/>
    </xf>
    <xf numFmtId="0" fontId="20" fillId="45" borderId="0" xfId="0" applyFont="1" applyFill="1" applyAlignment="1">
      <alignment horizontal="center"/>
    </xf>
    <xf numFmtId="0" fontId="23" fillId="46" borderId="0" xfId="0" applyFont="1" applyFill="1"/>
    <xf numFmtId="0" fontId="29" fillId="54" borderId="0" xfId="0" applyFont="1" applyFill="1"/>
    <xf numFmtId="0" fontId="29" fillId="48" borderId="9" xfId="0" applyFont="1" applyFill="1" applyBorder="1"/>
    <xf numFmtId="0" fontId="0" fillId="0" borderId="0" xfId="0" applyBorder="1"/>
    <xf numFmtId="0" fontId="17" fillId="24" borderId="0" xfId="0" applyFont="1" applyFill="1" applyBorder="1"/>
    <xf numFmtId="0" fontId="0" fillId="0" borderId="8" xfId="0" applyBorder="1"/>
    <xf numFmtId="0" fontId="29" fillId="48" borderId="39" xfId="0" applyFont="1" applyFill="1" applyBorder="1"/>
    <xf numFmtId="0" fontId="0" fillId="0" borderId="10" xfId="0" applyBorder="1"/>
    <xf numFmtId="0" fontId="0" fillId="0" borderId="40" xfId="0" applyBorder="1"/>
    <xf numFmtId="0" fontId="29" fillId="48" borderId="41" xfId="0" applyFont="1" applyFill="1" applyBorder="1"/>
    <xf numFmtId="0" fontId="0" fillId="0" borderId="43" xfId="0" applyBorder="1"/>
    <xf numFmtId="0" fontId="29" fillId="49" borderId="9" xfId="0" applyFont="1" applyFill="1" applyBorder="1"/>
    <xf numFmtId="0" fontId="17" fillId="25" borderId="0" xfId="0" applyFont="1" applyFill="1" applyBorder="1"/>
    <xf numFmtId="0" fontId="29" fillId="49" borderId="39" xfId="0" applyFont="1" applyFill="1" applyBorder="1"/>
    <xf numFmtId="0" fontId="29" fillId="49" borderId="41" xfId="0" applyFont="1" applyFill="1" applyBorder="1"/>
    <xf numFmtId="0" fontId="29" fillId="26" borderId="9" xfId="0" applyFont="1" applyFill="1" applyBorder="1"/>
    <xf numFmtId="0" fontId="17" fillId="50" borderId="0" xfId="0" applyFont="1" applyFill="1" applyBorder="1"/>
    <xf numFmtId="0" fontId="29" fillId="26" borderId="39" xfId="0" applyFont="1" applyFill="1" applyBorder="1"/>
    <xf numFmtId="0" fontId="29" fillId="26" borderId="41" xfId="0" applyFont="1" applyFill="1" applyBorder="1"/>
    <xf numFmtId="0" fontId="29" fillId="28" borderId="9" xfId="0" applyFont="1" applyFill="1" applyBorder="1"/>
    <xf numFmtId="0" fontId="17" fillId="29" borderId="0" xfId="0" applyFont="1" applyFill="1" applyBorder="1"/>
    <xf numFmtId="0" fontId="29" fillId="28" borderId="39" xfId="0" applyFont="1" applyFill="1" applyBorder="1"/>
    <xf numFmtId="0" fontId="29" fillId="28" borderId="41" xfId="0" applyFont="1" applyFill="1" applyBorder="1"/>
    <xf numFmtId="0" fontId="29" fillId="30" borderId="9" xfId="0" applyFont="1" applyFill="1" applyBorder="1"/>
    <xf numFmtId="0" fontId="17" fillId="51" borderId="0" xfId="0" applyFont="1" applyFill="1" applyBorder="1"/>
    <xf numFmtId="0" fontId="29" fillId="30" borderId="39" xfId="0" applyFont="1" applyFill="1" applyBorder="1"/>
    <xf numFmtId="0" fontId="29" fillId="30" borderId="41" xfId="0" applyFont="1" applyFill="1" applyBorder="1"/>
    <xf numFmtId="0" fontId="29" fillId="21" borderId="9" xfId="0" applyFont="1" applyFill="1" applyBorder="1"/>
    <xf numFmtId="0" fontId="17" fillId="52" borderId="0" xfId="0" applyFont="1" applyFill="1" applyBorder="1"/>
    <xf numFmtId="0" fontId="29" fillId="21" borderId="39" xfId="0" applyFont="1" applyFill="1" applyBorder="1"/>
    <xf numFmtId="0" fontId="29" fillId="21" borderId="41" xfId="0" applyFont="1" applyFill="1" applyBorder="1"/>
    <xf numFmtId="0" fontId="29" fillId="34" borderId="9" xfId="0" applyFont="1" applyFill="1" applyBorder="1"/>
    <xf numFmtId="0" fontId="17" fillId="53" borderId="0" xfId="0" applyFont="1" applyFill="1" applyBorder="1"/>
    <xf numFmtId="0" fontId="17" fillId="53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9" fillId="34" borderId="39" xfId="0" applyFont="1" applyFill="1" applyBorder="1"/>
    <xf numFmtId="0" fontId="29" fillId="34" borderId="41" xfId="0" applyFont="1" applyFill="1" applyBorder="1"/>
    <xf numFmtId="0" fontId="30" fillId="53" borderId="0" xfId="0" applyFont="1" applyFill="1" applyBorder="1" applyAlignment="1">
      <alignment horizontal="center" vertical="center"/>
    </xf>
    <xf numFmtId="0" fontId="30" fillId="29" borderId="0" xfId="0" applyFont="1" applyFill="1" applyBorder="1" applyAlignment="1">
      <alignment horizontal="center"/>
    </xf>
    <xf numFmtId="0" fontId="30" fillId="29" borderId="0" xfId="0" applyFont="1" applyFill="1" applyBorder="1" applyAlignment="1">
      <alignment horizontal="center" vertical="center"/>
    </xf>
    <xf numFmtId="0" fontId="31" fillId="29" borderId="0" xfId="0" applyFont="1" applyFill="1" applyBorder="1" applyAlignment="1">
      <alignment horizontal="center" vertical="center"/>
    </xf>
    <xf numFmtId="164" fontId="0" fillId="25" borderId="0" xfId="0" applyNumberFormat="1" applyFill="1" applyBorder="1" applyAlignment="1">
      <alignment horizontal="center"/>
    </xf>
    <xf numFmtId="0" fontId="0" fillId="25" borderId="0" xfId="0" applyFill="1" applyBorder="1" applyAlignment="1">
      <alignment horizontal="center"/>
    </xf>
    <xf numFmtId="0" fontId="0" fillId="25" borderId="42" xfId="0" applyFill="1" applyBorder="1" applyAlignment="1">
      <alignment horizontal="center"/>
    </xf>
    <xf numFmtId="164" fontId="0" fillId="25" borderId="42" xfId="0" applyNumberFormat="1" applyFill="1" applyBorder="1" applyAlignment="1">
      <alignment horizontal="center"/>
    </xf>
    <xf numFmtId="0" fontId="30" fillId="24" borderId="0" xfId="0" applyFont="1" applyFill="1" applyBorder="1" applyAlignment="1">
      <alignment horizontal="center" vertical="center"/>
    </xf>
    <xf numFmtId="0" fontId="31" fillId="24" borderId="0" xfId="0" applyFont="1" applyFill="1" applyBorder="1" applyAlignment="1">
      <alignment horizontal="center" vertical="center"/>
    </xf>
    <xf numFmtId="164" fontId="0" fillId="25" borderId="0" xfId="0" applyNumberFormat="1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14" fontId="0" fillId="25" borderId="0" xfId="0" applyNumberFormat="1" applyFill="1" applyBorder="1" applyAlignment="1">
      <alignment horizontal="center" vertical="center"/>
    </xf>
    <xf numFmtId="0" fontId="31" fillId="24" borderId="42" xfId="0" applyFont="1" applyFill="1" applyBorder="1" applyAlignment="1">
      <alignment horizontal="center" vertical="center"/>
    </xf>
    <xf numFmtId="0" fontId="0" fillId="25" borderId="42" xfId="0" applyFill="1" applyBorder="1" applyAlignment="1">
      <alignment horizontal="center" vertical="center"/>
    </xf>
    <xf numFmtId="164" fontId="0" fillId="25" borderId="42" xfId="0" applyNumberFormat="1" applyFill="1" applyBorder="1" applyAlignment="1">
      <alignment horizontal="center" vertical="center"/>
    </xf>
    <xf numFmtId="14" fontId="0" fillId="25" borderId="42" xfId="0" applyNumberFormat="1" applyFill="1" applyBorder="1" applyAlignment="1">
      <alignment horizontal="center" vertical="center"/>
    </xf>
    <xf numFmtId="0" fontId="17" fillId="24" borderId="0" xfId="0" applyFont="1" applyFill="1" applyBorder="1" applyAlignment="1">
      <alignment horizontal="left"/>
    </xf>
    <xf numFmtId="0" fontId="30" fillId="25" borderId="0" xfId="0" applyFont="1" applyFill="1" applyBorder="1" applyAlignment="1">
      <alignment horizontal="center"/>
    </xf>
    <xf numFmtId="0" fontId="31" fillId="25" borderId="0" xfId="0" applyFont="1" applyFill="1" applyBorder="1" applyAlignment="1">
      <alignment horizontal="center"/>
    </xf>
    <xf numFmtId="10" fontId="0" fillId="25" borderId="0" xfId="0" applyNumberFormat="1" applyFill="1" applyBorder="1" applyAlignment="1">
      <alignment horizontal="center"/>
    </xf>
    <xf numFmtId="0" fontId="31" fillId="25" borderId="42" xfId="0" applyFont="1" applyFill="1" applyBorder="1" applyAlignment="1">
      <alignment horizontal="center"/>
    </xf>
    <xf numFmtId="0" fontId="30" fillId="50" borderId="0" xfId="0" applyFont="1" applyFill="1" applyBorder="1" applyAlignment="1">
      <alignment horizontal="center"/>
    </xf>
    <xf numFmtId="0" fontId="31" fillId="50" borderId="0" xfId="0" applyFont="1" applyFill="1" applyBorder="1" applyAlignment="1">
      <alignment horizontal="center"/>
    </xf>
    <xf numFmtId="0" fontId="0" fillId="50" borderId="0" xfId="0" applyFill="1" applyBorder="1" applyAlignment="1">
      <alignment horizontal="center"/>
    </xf>
    <xf numFmtId="0" fontId="0" fillId="50" borderId="8" xfId="0" applyFill="1" applyBorder="1" applyAlignment="1">
      <alignment horizontal="center"/>
    </xf>
    <xf numFmtId="0" fontId="31" fillId="50" borderId="42" xfId="0" applyFont="1" applyFill="1" applyBorder="1" applyAlignment="1">
      <alignment horizontal="center"/>
    </xf>
    <xf numFmtId="0" fontId="0" fillId="50" borderId="42" xfId="0" applyFill="1" applyBorder="1" applyAlignment="1">
      <alignment horizontal="center"/>
    </xf>
    <xf numFmtId="0" fontId="0" fillId="50" borderId="43" xfId="0" applyFill="1" applyBorder="1" applyAlignment="1">
      <alignment horizontal="center"/>
    </xf>
    <xf numFmtId="0" fontId="31" fillId="29" borderId="42" xfId="0" applyFont="1" applyFill="1" applyBorder="1" applyAlignment="1">
      <alignment horizontal="center"/>
    </xf>
    <xf numFmtId="0" fontId="0" fillId="29" borderId="42" xfId="0" applyFill="1" applyBorder="1" applyAlignment="1">
      <alignment horizontal="center"/>
    </xf>
    <xf numFmtId="0" fontId="0" fillId="29" borderId="0" xfId="0" applyFill="1" applyBorder="1" applyAlignment="1">
      <alignment horizontal="center"/>
    </xf>
    <xf numFmtId="0" fontId="0" fillId="29" borderId="8" xfId="0" applyFill="1" applyBorder="1" applyAlignment="1">
      <alignment horizontal="center"/>
    </xf>
    <xf numFmtId="0" fontId="30" fillId="51" borderId="0" xfId="0" applyFont="1" applyFill="1" applyBorder="1" applyAlignment="1">
      <alignment horizontal="center" vertical="center"/>
    </xf>
    <xf numFmtId="0" fontId="31" fillId="51" borderId="0" xfId="0" applyFont="1" applyFill="1" applyBorder="1" applyAlignment="1">
      <alignment horizontal="center" vertical="center"/>
    </xf>
    <xf numFmtId="0" fontId="0" fillId="51" borderId="0" xfId="0" applyFill="1" applyBorder="1" applyAlignment="1">
      <alignment horizontal="center" vertical="center"/>
    </xf>
    <xf numFmtId="0" fontId="0" fillId="51" borderId="8" xfId="0" applyFill="1" applyBorder="1" applyAlignment="1">
      <alignment horizontal="center" vertical="center"/>
    </xf>
    <xf numFmtId="0" fontId="31" fillId="51" borderId="42" xfId="0" applyFont="1" applyFill="1" applyBorder="1" applyAlignment="1">
      <alignment horizontal="center" vertical="center"/>
    </xf>
    <xf numFmtId="0" fontId="0" fillId="51" borderId="42" xfId="0" applyFill="1" applyBorder="1" applyAlignment="1">
      <alignment horizontal="center" vertical="center"/>
    </xf>
    <xf numFmtId="0" fontId="30" fillId="52" borderId="0" xfId="0" applyFont="1" applyFill="1" applyBorder="1" applyAlignment="1">
      <alignment horizontal="center" vertical="center"/>
    </xf>
    <xf numFmtId="0" fontId="31" fillId="52" borderId="42" xfId="0" applyFont="1" applyFill="1" applyBorder="1" applyAlignment="1">
      <alignment horizontal="center" vertical="center"/>
    </xf>
    <xf numFmtId="0" fontId="0" fillId="52" borderId="42" xfId="0" applyFill="1" applyBorder="1" applyAlignment="1">
      <alignment horizontal="center" vertical="center"/>
    </xf>
    <xf numFmtId="0" fontId="31" fillId="52" borderId="0" xfId="0" applyFont="1" applyFill="1" applyBorder="1" applyAlignment="1">
      <alignment horizontal="center" vertical="center"/>
    </xf>
    <xf numFmtId="0" fontId="0" fillId="52" borderId="0" xfId="0" applyFill="1" applyBorder="1" applyAlignment="1">
      <alignment horizontal="center" vertical="center"/>
    </xf>
    <xf numFmtId="0" fontId="0" fillId="52" borderId="8" xfId="0" applyFill="1" applyBorder="1" applyAlignment="1">
      <alignment horizontal="center" vertical="center"/>
    </xf>
    <xf numFmtId="0" fontId="31" fillId="53" borderId="0" xfId="0" applyFont="1" applyFill="1" applyBorder="1" applyAlignment="1">
      <alignment horizontal="center" vertical="center"/>
    </xf>
    <xf numFmtId="0" fontId="0" fillId="53" borderId="0" xfId="0" applyFill="1" applyBorder="1" applyAlignment="1">
      <alignment horizontal="center" vertical="center"/>
    </xf>
    <xf numFmtId="0" fontId="0" fillId="53" borderId="8" xfId="0" applyFill="1" applyBorder="1" applyAlignment="1">
      <alignment horizontal="center" vertical="center"/>
    </xf>
    <xf numFmtId="0" fontId="31" fillId="53" borderId="42" xfId="0" applyFont="1" applyFill="1" applyBorder="1" applyAlignment="1">
      <alignment horizontal="center" vertical="center"/>
    </xf>
    <xf numFmtId="0" fontId="0" fillId="53" borderId="42" xfId="0" applyFill="1" applyBorder="1" applyAlignment="1">
      <alignment horizontal="center" vertical="center"/>
    </xf>
    <xf numFmtId="0" fontId="0" fillId="55" borderId="42" xfId="0" applyFill="1" applyBorder="1" applyAlignment="1">
      <alignment horizontal="center" vertical="center"/>
    </xf>
    <xf numFmtId="0" fontId="0" fillId="0" borderId="0" xfId="0" applyFill="1" applyBorder="1"/>
    <xf numFmtId="164" fontId="0" fillId="25" borderId="8" xfId="0" applyNumberFormat="1" applyFill="1" applyBorder="1" applyAlignment="1">
      <alignment horizontal="center"/>
    </xf>
    <xf numFmtId="164" fontId="0" fillId="25" borderId="43" xfId="0" applyNumberFormat="1" applyFill="1" applyBorder="1" applyAlignment="1">
      <alignment horizontal="center"/>
    </xf>
    <xf numFmtId="10" fontId="0" fillId="25" borderId="42" xfId="3" applyNumberFormat="1" applyFont="1" applyFill="1" applyBorder="1" applyAlignment="1">
      <alignment horizontal="center"/>
    </xf>
    <xf numFmtId="10" fontId="0" fillId="56" borderId="0" xfId="0" applyNumberFormat="1" applyFill="1" applyBorder="1" applyAlignment="1">
      <alignment horizontal="center"/>
    </xf>
    <xf numFmtId="164" fontId="0" fillId="56" borderId="8" xfId="2" applyNumberFormat="1" applyFont="1" applyFill="1" applyBorder="1" applyAlignment="1">
      <alignment horizontal="center"/>
    </xf>
    <xf numFmtId="0" fontId="0" fillId="56" borderId="0" xfId="0" applyFill="1" applyBorder="1" applyAlignment="1">
      <alignment horizontal="center" vertical="center"/>
    </xf>
    <xf numFmtId="0" fontId="0" fillId="0" borderId="38" xfId="0" applyFill="1" applyBorder="1"/>
    <xf numFmtId="164" fontId="0" fillId="47" borderId="0" xfId="0" applyNumberFormat="1" applyFill="1" applyBorder="1" applyAlignment="1" applyProtection="1">
      <alignment horizontal="center" vertical="center"/>
      <protection locked="0"/>
    </xf>
    <xf numFmtId="0" fontId="0" fillId="47" borderId="0" xfId="0" applyFill="1" applyBorder="1" applyAlignment="1" applyProtection="1">
      <alignment horizontal="center" vertical="center"/>
      <protection locked="0"/>
    </xf>
    <xf numFmtId="14" fontId="0" fillId="47" borderId="0" xfId="0" applyNumberFormat="1" applyFill="1" applyBorder="1" applyAlignment="1" applyProtection="1">
      <alignment horizontal="center" vertical="center"/>
      <protection locked="0"/>
    </xf>
    <xf numFmtId="164" fontId="0" fillId="47" borderId="0" xfId="0" applyNumberFormat="1" applyFill="1" applyBorder="1" applyAlignment="1" applyProtection="1">
      <alignment horizontal="center"/>
      <protection locked="0"/>
    </xf>
    <xf numFmtId="0" fontId="0" fillId="47" borderId="0" xfId="0" applyFill="1" applyBorder="1" applyAlignment="1" applyProtection="1">
      <alignment horizontal="center"/>
      <protection locked="0"/>
    </xf>
    <xf numFmtId="10" fontId="0" fillId="47" borderId="0" xfId="0" applyNumberFormat="1" applyFill="1" applyBorder="1" applyAlignment="1" applyProtection="1">
      <alignment horizontal="center"/>
      <protection locked="0"/>
    </xf>
    <xf numFmtId="0" fontId="0" fillId="47" borderId="8" xfId="0" applyFill="1" applyBorder="1" applyAlignment="1" applyProtection="1">
      <alignment horizontal="center"/>
      <protection locked="0"/>
    </xf>
    <xf numFmtId="0" fontId="0" fillId="47" borderId="8" xfId="0" applyFill="1" applyBorder="1" applyAlignment="1" applyProtection="1">
      <alignment horizontal="center" vertical="center"/>
      <protection locked="0"/>
    </xf>
    <xf numFmtId="0" fontId="0" fillId="57" borderId="0" xfId="0" applyFill="1" applyAlignment="1" applyProtection="1">
      <alignment horizontal="right" vertical="center"/>
      <protection locked="0"/>
    </xf>
    <xf numFmtId="0" fontId="32" fillId="0" borderId="0" xfId="0" applyFont="1" applyAlignment="1">
      <alignment horizontal="center" vertical="center"/>
    </xf>
    <xf numFmtId="0" fontId="0" fillId="57" borderId="0" xfId="0" applyFill="1" applyAlignment="1" applyProtection="1">
      <alignment horizontal="center"/>
      <protection locked="0"/>
    </xf>
    <xf numFmtId="0" fontId="0" fillId="0" borderId="0" xfId="0" applyNumberFormat="1" applyAlignment="1">
      <alignment horizontal="center" vertical="center"/>
    </xf>
    <xf numFmtId="0" fontId="0" fillId="0" borderId="35" xfId="0" applyBorder="1" applyAlignment="1">
      <alignment horizontal="center" vertical="center"/>
    </xf>
    <xf numFmtId="44" fontId="0" fillId="0" borderId="36" xfId="2" applyFont="1" applyBorder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164" fontId="0" fillId="0" borderId="36" xfId="0" applyNumberFormat="1" applyBorder="1" applyAlignment="1">
      <alignment horizontal="center" vertical="center"/>
    </xf>
    <xf numFmtId="10" fontId="0" fillId="0" borderId="37" xfId="3" applyNumberFormat="1" applyFont="1" applyBorder="1" applyAlignment="1">
      <alignment horizontal="center" vertical="center"/>
    </xf>
    <xf numFmtId="164" fontId="0" fillId="0" borderId="37" xfId="0" applyNumberFormat="1" applyBorder="1" applyAlignment="1">
      <alignment horizontal="center" vertical="center"/>
    </xf>
    <xf numFmtId="164" fontId="0" fillId="0" borderId="35" xfId="0" applyNumberFormat="1" applyBorder="1" applyAlignment="1">
      <alignment horizontal="center" vertical="center"/>
    </xf>
    <xf numFmtId="10" fontId="0" fillId="0" borderId="36" xfId="3" applyNumberFormat="1" applyFont="1" applyBorder="1" applyAlignment="1">
      <alignment horizontal="center" vertical="center"/>
    </xf>
    <xf numFmtId="14" fontId="12" fillId="39" borderId="5" xfId="0" applyNumberFormat="1" applyFont="1" applyFill="1" applyBorder="1" applyAlignment="1">
      <alignment horizontal="center" vertical="center"/>
    </xf>
    <xf numFmtId="14" fontId="12" fillId="39" borderId="34" xfId="0" applyNumberFormat="1" applyFont="1" applyFill="1" applyBorder="1" applyAlignment="1">
      <alignment horizontal="center" vertical="center"/>
    </xf>
    <xf numFmtId="9" fontId="12" fillId="39" borderId="5" xfId="0" applyNumberFormat="1" applyFont="1" applyFill="1" applyBorder="1" applyAlignment="1">
      <alignment horizontal="center" vertical="center"/>
    </xf>
    <xf numFmtId="9" fontId="12" fillId="39" borderId="3" xfId="0" applyNumberFormat="1" applyFont="1" applyFill="1" applyBorder="1" applyAlignment="1">
      <alignment horizontal="center" vertical="center"/>
    </xf>
    <xf numFmtId="9" fontId="12" fillId="39" borderId="34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horizontal="center"/>
    </xf>
    <xf numFmtId="0" fontId="33" fillId="36" borderId="0" xfId="0" applyFont="1" applyFill="1" applyAlignment="1">
      <alignment horizontal="center"/>
    </xf>
    <xf numFmtId="0" fontId="36" fillId="36" borderId="0" xfId="0" applyFont="1" applyFill="1" applyAlignment="1">
      <alignment horizontal="center"/>
    </xf>
    <xf numFmtId="0" fontId="34" fillId="44" borderId="44" xfId="0" applyFont="1" applyFill="1" applyBorder="1" applyAlignment="1">
      <alignment horizontal="center"/>
    </xf>
    <xf numFmtId="0" fontId="35" fillId="33" borderId="46" xfId="0" applyFont="1" applyFill="1" applyBorder="1" applyAlignment="1">
      <alignment horizontal="center"/>
    </xf>
    <xf numFmtId="0" fontId="34" fillId="28" borderId="44" xfId="0" applyFont="1" applyFill="1" applyBorder="1" applyAlignment="1">
      <alignment horizontal="center"/>
    </xf>
    <xf numFmtId="0" fontId="35" fillId="29" borderId="46" xfId="0" applyFont="1" applyFill="1" applyBorder="1" applyAlignment="1">
      <alignment horizontal="center"/>
    </xf>
    <xf numFmtId="0" fontId="34" fillId="49" borderId="44" xfId="0" applyFont="1" applyFill="1" applyBorder="1" applyAlignment="1">
      <alignment horizontal="center"/>
    </xf>
    <xf numFmtId="164" fontId="18" fillId="25" borderId="46" xfId="0" applyNumberFormat="1" applyFont="1" applyFill="1" applyBorder="1" applyAlignment="1">
      <alignment horizontal="center"/>
    </xf>
    <xf numFmtId="0" fontId="34" fillId="34" borderId="44" xfId="0" applyFont="1" applyFill="1" applyBorder="1" applyAlignment="1">
      <alignment horizontal="center"/>
    </xf>
    <xf numFmtId="0" fontId="18" fillId="35" borderId="46" xfId="0" applyFont="1" applyFill="1" applyBorder="1" applyAlignment="1">
      <alignment horizontal="center"/>
    </xf>
    <xf numFmtId="0" fontId="38" fillId="43" borderId="45" xfId="0" applyFont="1" applyFill="1" applyBorder="1"/>
    <xf numFmtId="0" fontId="38" fillId="29" borderId="45" xfId="0" applyFont="1" applyFill="1" applyBorder="1"/>
    <xf numFmtId="0" fontId="26" fillId="24" borderId="45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26" fillId="24" borderId="46" xfId="0" applyFont="1" applyFill="1" applyBorder="1" applyAlignment="1">
      <alignment vertical="top" wrapText="1"/>
    </xf>
    <xf numFmtId="0" fontId="38" fillId="58" borderId="45" xfId="0" applyFont="1" applyFill="1" applyBorder="1" applyAlignment="1">
      <alignment vertical="top"/>
    </xf>
    <xf numFmtId="0" fontId="38" fillId="51" borderId="45" xfId="0" applyFont="1" applyFill="1" applyBorder="1" applyAlignment="1">
      <alignment vertical="top"/>
    </xf>
    <xf numFmtId="0" fontId="38" fillId="35" borderId="45" xfId="0" applyFont="1" applyFill="1" applyBorder="1" applyAlignment="1">
      <alignment vertical="top"/>
    </xf>
    <xf numFmtId="0" fontId="38" fillId="33" borderId="45" xfId="0" applyFont="1" applyFill="1" applyBorder="1" applyAlignment="1">
      <alignment vertical="top"/>
    </xf>
    <xf numFmtId="0" fontId="26" fillId="60" borderId="45" xfId="0" applyFont="1" applyFill="1" applyBorder="1" applyAlignment="1">
      <alignment vertical="top" wrapText="1"/>
    </xf>
    <xf numFmtId="0" fontId="26" fillId="33" borderId="45" xfId="0" applyFont="1" applyFill="1" applyBorder="1" applyAlignment="1">
      <alignment vertical="top" wrapText="1"/>
    </xf>
    <xf numFmtId="0" fontId="26" fillId="60" borderId="46" xfId="0" applyFont="1" applyFill="1" applyBorder="1" applyAlignment="1">
      <alignment vertical="top" wrapText="1"/>
    </xf>
    <xf numFmtId="0" fontId="26" fillId="33" borderId="46" xfId="0" applyFont="1" applyFill="1" applyBorder="1" applyAlignment="1">
      <alignment vertical="top" wrapText="1"/>
    </xf>
    <xf numFmtId="0" fontId="34" fillId="34" borderId="44" xfId="0" applyFont="1" applyFill="1" applyBorder="1"/>
    <xf numFmtId="0" fontId="34" fillId="28" borderId="44" xfId="0" applyFont="1" applyFill="1" applyBorder="1"/>
    <xf numFmtId="0" fontId="34" fillId="26" borderId="44" xfId="0" applyFont="1" applyFill="1" applyBorder="1" applyAlignment="1">
      <alignment vertical="top"/>
    </xf>
    <xf numFmtId="0" fontId="34" fillId="30" borderId="44" xfId="0" applyFont="1" applyFill="1" applyBorder="1" applyAlignment="1">
      <alignment vertical="top"/>
    </xf>
    <xf numFmtId="0" fontId="34" fillId="34" borderId="44" xfId="0" applyFont="1" applyFill="1" applyBorder="1" applyAlignment="1">
      <alignment vertical="top"/>
    </xf>
    <xf numFmtId="0" fontId="34" fillId="44" borderId="44" xfId="0" applyFont="1" applyFill="1" applyBorder="1" applyAlignment="1">
      <alignment vertical="top"/>
    </xf>
    <xf numFmtId="0" fontId="26" fillId="29" borderId="45" xfId="0" applyFont="1" applyFill="1" applyBorder="1" applyAlignment="1">
      <alignment vertical="top"/>
    </xf>
    <xf numFmtId="0" fontId="26" fillId="29" borderId="46" xfId="0" applyFont="1" applyFill="1" applyBorder="1" applyAlignment="1">
      <alignment vertical="top"/>
    </xf>
    <xf numFmtId="0" fontId="26" fillId="59" borderId="45" xfId="0" applyFont="1" applyFill="1" applyBorder="1" applyAlignment="1">
      <alignment vertical="top"/>
    </xf>
    <xf numFmtId="0" fontId="26" fillId="59" borderId="46" xfId="0" applyFont="1" applyFill="1" applyBorder="1" applyAlignment="1">
      <alignment vertical="top"/>
    </xf>
    <xf numFmtId="0" fontId="26" fillId="25" borderId="45" xfId="0" applyFont="1" applyFill="1" applyBorder="1" applyAlignment="1">
      <alignment vertical="top"/>
    </xf>
    <xf numFmtId="0" fontId="26" fillId="25" borderId="46" xfId="0" applyFont="1" applyFill="1" applyBorder="1" applyAlignment="1">
      <alignment vertical="top"/>
    </xf>
  </cellXfs>
  <cellStyles count="5">
    <cellStyle name="Accent6" xfId="4" builtinId="49"/>
    <cellStyle name="Currency" xfId="2" builtinId="4"/>
    <cellStyle name="Good" xfId="1" builtinId="26"/>
    <cellStyle name="Normal" xfId="0" builtinId="0"/>
    <cellStyle name="Percent" xfId="3" builtinId="5"/>
  </cellStyles>
  <dxfs count="141"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5700"/>
      </font>
      <fill>
        <patternFill patternType="solid">
          <fgColor indexed="64"/>
          <bgColor rgb="FFFFEB9C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ill>
        <patternFill patternType="solid">
          <fgColor indexed="64"/>
          <bgColor rgb="FFFFFF99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rgb="FFFFFF99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&quot;$&quot;#,##0.00"/>
      <alignment horizontal="center" vertical="center" textRotation="0" wrapText="0" indent="0" justifyLastLine="0" shrinkToFit="0" readingOrder="0"/>
      <border>
        <left style="thin">
          <color rgb="FFBFBFBF"/>
        </left>
        <right style="thin">
          <color rgb="FFBFBFBF"/>
        </right>
      </border>
    </dxf>
    <dxf>
      <numFmt numFmtId="14" formatCode="0.00%"/>
      <alignment horizontal="center" vertical="center" textRotation="0" wrapText="0" indent="0" justifyLastLine="0" shrinkToFit="0" readingOrder="0"/>
      <border>
        <right style="thin">
          <color rgb="FFBFBFBF"/>
        </right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BFBFBF"/>
        </top>
        <bottom style="thin">
          <color rgb="FFBFBFBF"/>
        </bottom>
      </border>
    </dxf>
    <dxf>
      <numFmt numFmtId="19" formatCode="m/d/yyyy"/>
      <alignment horizontal="center" vertical="center" textRotation="0" wrapText="0" indent="0" justifyLastLine="0" shrinkToFit="0" readingOrder="0"/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BFBFBF"/>
        </top>
        <bottom style="thin">
          <color rgb="FFBFBFBF"/>
        </bottom>
      </border>
    </dxf>
    <dxf>
      <numFmt numFmtId="19" formatCode="m/d/yyyy"/>
      <alignment horizontal="center" vertical="center" textRotation="0" wrapText="0" indent="0" justifyLastLine="0" shrinkToFit="0" readingOrder="0"/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rgb="FFBFBFBF"/>
        </top>
        <bottom style="thin">
          <color rgb="FFBFBFBF"/>
        </bottom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alignment horizontal="center" vertical="center" textRotation="0" wrapText="0" indent="0" justifyLastLine="0" shrinkToFit="0" readingOrder="0"/>
    </dxf>
    <dxf>
      <border outline="0">
        <top style="thin">
          <color rgb="FFBFBFBF"/>
        </top>
      </border>
    </dxf>
    <dxf>
      <border outline="0">
        <bottom style="thin">
          <color rgb="FFBFBFBF"/>
        </bottom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FFFF"/>
        <name val="Arial"/>
        <scheme val="none"/>
      </font>
      <fill>
        <patternFill patternType="solid">
          <fgColor indexed="64"/>
          <bgColor rgb="FF1F386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  <dxf>
      <numFmt numFmtId="0" formatCode="General"/>
      <alignment horizontal="center" vertical="center" textRotation="0" wrapText="0" indent="0" justifyLastLine="0" shrinkToFit="0" readingOrder="0"/>
    </dxf>
    <dxf>
      <font>
        <sz val="8"/>
        <color rgb="FF000000"/>
        <name val="Arial"/>
        <family val="2"/>
        <scheme val="none"/>
      </font>
      <numFmt numFmtId="164" formatCode="&quot;$&quot;#,##0.00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64" formatCode="&quot;$&quot;#,##0.00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64" formatCode="&quot;$&quot;#,##0.00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numFmt numFmtId="164" formatCode="&quot;$&quot;#,##0.00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numFmt numFmtId="14" formatCode="0.00%"/>
      <alignment horizontal="center" vertical="center" textRotation="0" wrapText="0" indent="0" justifyLastLine="0" shrinkToFit="0" readingOrder="0"/>
      <border outline="0">
        <left style="thin">
          <color rgb="FFBFBFBF"/>
        </left>
        <right style="thin">
          <color rgb="FFBFBFBF"/>
        </right>
      </border>
    </dxf>
    <dxf>
      <numFmt numFmtId="14" formatCode="0.00%"/>
      <alignment horizontal="center" vertical="center" textRotation="0" wrapText="0" indent="0" justifyLastLine="0" shrinkToFit="0" readingOrder="0"/>
      <border outline="0">
        <left style="thin">
          <color rgb="FFBFBFBF"/>
        </left>
        <right style="thin">
          <color rgb="FFBFBFBF"/>
        </right>
      </border>
    </dxf>
    <dxf>
      <font>
        <sz val="8"/>
        <color rgb="FF000000"/>
        <name val="Arial"/>
        <family val="2"/>
        <scheme val="none"/>
      </font>
      <numFmt numFmtId="164" formatCode="&quot;$&quot;#,##0.00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alignment horizontal="center" vertical="center" textRotation="0" wrapText="0" indent="0" justifyLastLine="0" shrinkToFit="0" readingOrder="0"/>
      <border outline="0">
        <left style="thin">
          <color rgb="FFBFBFBF"/>
        </left>
      </border>
    </dxf>
    <dxf>
      <numFmt numFmtId="164" formatCode="&quot;$&quot;#,##0.00"/>
      <alignment horizontal="center" vertical="center" textRotation="0" wrapText="0" indent="0" justifyLastLine="0" shrinkToFit="0" readingOrder="0"/>
      <border outline="0">
        <left style="thin">
          <color rgb="FFBFBFBF"/>
        </left>
      </border>
    </dxf>
    <dxf>
      <font>
        <sz val="8"/>
        <color rgb="FF000000"/>
        <name val="Arial"/>
        <family val="2"/>
        <scheme val="none"/>
      </font>
      <numFmt numFmtId="0" formatCode="General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numFmt numFmtId="0" formatCode="General"/>
      <alignment horizontal="center" vertical="center" textRotation="0" wrapText="0" indent="0" justifyLastLine="0" shrinkToFit="0" readingOrder="0"/>
    </dxf>
    <dxf>
      <font>
        <sz val="8"/>
        <color rgb="FF000000"/>
        <name val="Arial"/>
        <family val="2"/>
        <scheme val="none"/>
      </font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FFFF"/>
        <name val="Arial"/>
        <scheme val="none"/>
      </font>
      <fill>
        <patternFill patternType="solid">
          <fgColor indexed="64"/>
          <bgColor rgb="FF1F386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  <dxf>
      <alignment horizontal="center" vertical="center" textRotation="0" wrapText="0" indent="0" justifyLastLine="0" shrinkToFit="0" readingOrder="0"/>
    </dxf>
    <dxf>
      <font>
        <sz val="8"/>
        <color rgb="FF000000"/>
        <name val="Arial"/>
        <family val="2"/>
        <scheme val="none"/>
      </font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sz val="8"/>
        <color rgb="FF000000"/>
        <name val="Arial"/>
        <family val="2"/>
        <scheme val="none"/>
      </font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z val="8"/>
        <color rgb="FF000000"/>
        <name val="Arial"/>
        <family val="2"/>
        <scheme val="none"/>
      </font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numFmt numFmtId="164" formatCode="&quot;$&quot;#,##0.00"/>
      <alignment horizontal="center" vertical="center" textRotation="0" wrapText="0" indent="0" justifyLastLine="0" shrinkToFit="0" readingOrder="0"/>
      <border outline="0">
        <left style="thin">
          <color rgb="FFBFBFBF"/>
        </left>
      </border>
    </dxf>
    <dxf>
      <numFmt numFmtId="164" formatCode="&quot;$&quot;#,##0.00"/>
      <alignment horizontal="center" vertical="center" textRotation="0" wrapText="0" indent="0" justifyLastLine="0" shrinkToFit="0" readingOrder="0"/>
      <border outline="0">
        <left style="thin">
          <color rgb="FFBFBFBF"/>
        </left>
        <right style="thin">
          <color rgb="FFBFBFBF"/>
        </right>
      </border>
    </dxf>
    <dxf>
      <numFmt numFmtId="14" formatCode="0.00%"/>
      <alignment horizontal="center" vertical="center" textRotation="0" wrapText="0" indent="0" justifyLastLine="0" shrinkToFit="0" readingOrder="0"/>
      <border outline="0">
        <left style="thin">
          <color rgb="FFBFBFBF"/>
        </left>
        <right style="thin">
          <color rgb="FFBFBFBF"/>
        </right>
      </border>
    </dxf>
    <dxf>
      <numFmt numFmtId="14" formatCode="0.00%"/>
      <alignment horizontal="center" vertical="center" textRotation="0" wrapText="0" indent="0" justifyLastLine="0" shrinkToFit="0" readingOrder="0"/>
      <border outline="0">
        <left style="thin">
          <color rgb="FFBFBFBF"/>
        </left>
        <right style="thin">
          <color rgb="FFBFBFBF"/>
        </right>
      </border>
    </dxf>
    <dxf>
      <numFmt numFmtId="164" formatCode="&quot;$&quot;#,##0.00"/>
      <alignment horizontal="center" vertical="center" textRotation="0" wrapText="0" indent="0" justifyLastLine="0" shrinkToFit="0" readingOrder="0"/>
      <border outline="0">
        <right style="thin">
          <color rgb="FFBFBFBF"/>
        </right>
      </border>
    </dxf>
    <dxf>
      <font>
        <sz val="8"/>
        <color rgb="FF000000"/>
        <name val="Arial"/>
        <family val="2"/>
        <scheme val="none"/>
      </font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BFBFBF"/>
        </left>
      </border>
    </dxf>
    <dxf>
      <numFmt numFmtId="164" formatCode="&quot;$&quot;#,##0.00"/>
      <alignment horizontal="center" vertical="center" textRotation="0" wrapText="0" indent="0" justifyLastLine="0" shrinkToFit="0" readingOrder="0"/>
    </dxf>
    <dxf>
      <font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numFmt numFmtId="19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right style="thin">
          <color rgb="FFBFBFBF"/>
        </right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outline="0">
        <left style="thin">
          <color rgb="FFBFBFBF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"/>
        <family val="2"/>
        <scheme val="none"/>
      </font>
      <numFmt numFmtId="19" formatCode="m/d/yyyy"/>
      <fill>
        <patternFill patternType="solid">
          <fgColor indexed="64"/>
          <bgColor rgb="FFDEEAF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border outline="0">
        <top style="thin">
          <color rgb="FFBFBFBF"/>
        </top>
      </border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rgb="FFBFBFB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FFFF"/>
        <name val="Arial"/>
        <scheme val="none"/>
      </font>
      <fill>
        <patternFill patternType="solid">
          <fgColor indexed="64"/>
          <bgColor rgb="FF1F386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rgb="FFE2EFDA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rgb="FFE2EFDA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</dxfs>
  <tableStyles count="0" defaultTableStyle="TableStyleMedium9" defaultPivotStyle="PivotStyleLight16"/>
  <colors>
    <mruColors>
      <color rgb="FFFFFF99"/>
      <color rgb="FFFFE59B"/>
      <color rgb="FFB4D59F"/>
      <color rgb="FF93E1A2"/>
      <color rgb="FFFFF9E7"/>
      <color rgb="FFFFF0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187325</xdr:colOff>
          <xdr:row>2</xdr:row>
          <xdr:rowOff>187325</xdr:rowOff>
        </xdr:from>
        <xdr:to>
          <xdr:col>57</xdr:col>
          <xdr:colOff>247650</xdr:colOff>
          <xdr:row>4</xdr:row>
          <xdr:rowOff>149225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  <a:ext uri="{FF2B5EF4-FFF2-40B4-BE49-F238E27FC236}">
                  <a16:creationId xmlns:a16="http://schemas.microsoft.com/office/drawing/2014/main" id="{00000000-0008-0000-0400-00001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196849</xdr:colOff>
          <xdr:row>6</xdr:row>
          <xdr:rowOff>19049</xdr:rowOff>
        </xdr:from>
        <xdr:to>
          <xdr:col>57</xdr:col>
          <xdr:colOff>257174</xdr:colOff>
          <xdr:row>8</xdr:row>
          <xdr:rowOff>161924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  <a:ext uri="{FF2B5EF4-FFF2-40B4-BE49-F238E27FC236}">
                  <a16:creationId xmlns:a16="http://schemas.microsoft.com/office/drawing/2014/main" id="{00000000-0008-0000-0400-00001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227012</xdr:colOff>
          <xdr:row>6</xdr:row>
          <xdr:rowOff>120650</xdr:rowOff>
        </xdr:from>
        <xdr:to>
          <xdr:col>63</xdr:col>
          <xdr:colOff>597693</xdr:colOff>
          <xdr:row>10</xdr:row>
          <xdr:rowOff>56356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5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223837</xdr:colOff>
          <xdr:row>11</xdr:row>
          <xdr:rowOff>100013</xdr:rowOff>
        </xdr:from>
        <xdr:to>
          <xdr:col>63</xdr:col>
          <xdr:colOff>559593</xdr:colOff>
          <xdr:row>15</xdr:row>
          <xdr:rowOff>80963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5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238125</xdr:colOff>
          <xdr:row>6</xdr:row>
          <xdr:rowOff>130175</xdr:rowOff>
        </xdr:from>
        <xdr:to>
          <xdr:col>6</xdr:col>
          <xdr:colOff>415925</xdr:colOff>
          <xdr:row>9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Agent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161925</xdr:colOff>
      <xdr:row>1</xdr:row>
      <xdr:rowOff>114300</xdr:rowOff>
    </xdr:from>
    <xdr:to>
      <xdr:col>13</xdr:col>
      <xdr:colOff>285750</xdr:colOff>
      <xdr:row>7</xdr:row>
      <xdr:rowOff>17993</xdr:rowOff>
    </xdr:to>
    <xdr:sp macro="" textlink="">
      <xdr:nvSpPr>
        <xdr:cNvPr id="3" name="Arrow: Left 2">
          <a:extLst>
            <a:ext uri="{FF2B5EF4-FFF2-40B4-BE49-F238E27FC236}">
              <a16:creationId xmlns:a16="http://schemas.microsoft.com/office/drawing/2014/main" id="{65D55650-8C26-485E-8A00-2CC858508F0C}"/>
            </a:ext>
          </a:extLst>
        </xdr:cNvPr>
        <xdr:cNvSpPr/>
      </xdr:nvSpPr>
      <xdr:spPr>
        <a:xfrm>
          <a:off x="6772275" y="523875"/>
          <a:ext cx="3171825" cy="1084793"/>
        </a:xfrm>
        <a:prstGeom prst="leftArrow">
          <a:avLst/>
        </a:prstGeom>
        <a:gradFill flip="none" rotWithShape="1">
          <a:gsLst>
            <a:gs pos="0">
              <a:schemeClr val="accent4">
                <a:lumMod val="67000"/>
              </a:schemeClr>
            </a:gs>
            <a:gs pos="48000">
              <a:schemeClr val="accent4">
                <a:lumMod val="97000"/>
                <a:lumOff val="3000"/>
              </a:schemeClr>
            </a:gs>
            <a:gs pos="100000">
              <a:schemeClr val="accent4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Add</a:t>
          </a:r>
          <a:r>
            <a:rPr lang="en-US" sz="1100" baseline="0"/>
            <a:t> new agent name and office in yellow cells then click button</a:t>
          </a:r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gent" displayName="Agent" ref="A2:C37">
  <autoFilter ref="A2:C37" xr:uid="{00000000-0009-0000-0100-000001000000}"/>
  <tableColumns count="3">
    <tableColumn id="1" xr3:uid="{00000000-0010-0000-0000-000001000000}" name="AgentID" dataDxfId="140">
      <calculatedColumnFormula>LEFT(Agent[[#This Row],[AgentName]],1)&amp;TRIM(RIGHT(SUBSTITUTE(Agent[[#This Row],[AgentName]]," ",REPT(" ",100)),100))</calculatedColumnFormula>
    </tableColumn>
    <tableColumn id="2" xr3:uid="{00000000-0010-0000-0000-000002000000}" name="AgentName"/>
    <tableColumn id="3" xr3:uid="{00000000-0010-0000-0000-000003000000}" name="Offic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6B827F7-C203-4E0D-AD93-55704A6C61F1}" name="Table7" displayName="Table7" ref="E4:G5" totalsRowShown="0" headerRowDxfId="139" dataDxfId="138">
  <autoFilter ref="E4:G5" xr:uid="{76B827F7-C203-4E0D-AD93-55704A6C61F1}">
    <filterColumn colId="0" hiddenButton="1"/>
    <filterColumn colId="1" hiddenButton="1"/>
    <filterColumn colId="2" hiddenButton="1"/>
  </autoFilter>
  <tableColumns count="3">
    <tableColumn id="1" xr3:uid="{E1DBE85D-801D-4D79-AC97-E90CA88F4633}" name="AgentName" dataDxfId="15"/>
    <tableColumn id="2" xr3:uid="{D3139762-76ED-46C2-9758-F829FA006D23}" name="Office" dataDxfId="14"/>
    <tableColumn id="3" xr3:uid="{2E5152AD-C6AC-45E4-A7A4-F92998150736}" name="Check" dataDxfId="16">
      <calculatedColumnFormula>IF(ISNUMBER(_xlfn.XMATCH(Table7[[#This Row],[AgentName]],Agent[AgentName]))=TRUE,"DUPLICATE","Valid")</calculatedColumnFormula>
    </tableColumn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AF48633-270B-4050-993E-1995BB1027DC}" name="TransactionFact" displayName="TransactionFact" ref="A6:Z30" totalsRowShown="0" headerRowDxfId="129" dataDxfId="127" headerRowBorderDxfId="128" tableBorderDxfId="126" totalsRowBorderDxfId="125">
  <autoFilter ref="A6:Z30" xr:uid="{4AF48633-270B-4050-993E-1995BB1027DC}"/>
  <tableColumns count="26">
    <tableColumn id="1" xr3:uid="{E7F7889E-6DD0-4E9D-B24A-D07BD80A5680}" name="TransactionID" dataDxfId="20">
      <calculatedColumnFormula>TEXT(TransactionFact[[#This Row],[ClosingDt]],"yyyy")&amp;"-"&amp;TEXT(ROW()-6,"000")</calculatedColumnFormula>
    </tableColumn>
    <tableColumn id="37" xr3:uid="{6C1266AF-BFC7-4BA1-AB47-4C6C0C1278FF}" name="CreatedDt" dataDxfId="124"/>
    <tableColumn id="2" xr3:uid="{1A057557-A531-47B1-8FE6-EB1C813902D7}" name="Address" dataDxfId="123"/>
    <tableColumn id="3" xr3:uid="{001ED894-159B-4C6C-B9B5-AB31FAD8C0AC}" name="SignNum" dataDxfId="122"/>
    <tableColumn id="4" xr3:uid="{B1C7D8D5-9D2F-4A40-87FF-D1EF18370DED}" name="ListPrice" dataDxfId="121" dataCellStyle="Currency"/>
    <tableColumn id="5" xr3:uid="{8E6D3E59-1A07-41E9-92E6-27765804B15E}" name="OfferAcceptDt" dataDxfId="120"/>
    <tableColumn id="6" xr3:uid="{4830E88C-33C1-453C-AF7C-2B21E156E3C4}" name="ClosingDt" dataDxfId="119"/>
    <tableColumn id="7" xr3:uid="{D0509BEF-942A-41D2-A793-DDA030CEF277}" name="SalePrice" dataDxfId="118" dataCellStyle="Currency"/>
    <tableColumn id="8" xr3:uid="{ECB53029-ADAD-4E3F-8779-191655295640}" name="LoanType" dataDxfId="117"/>
    <tableColumn id="9" xr3:uid="{F976D2E7-D3A3-4287-87B2-A459FD52832D}" name="Concessions" dataDxfId="116"/>
    <tableColumn id="10" xr3:uid="{62132CE9-6E2A-409C-A152-D60CECC30A36}" name="Notes" dataDxfId="115"/>
    <tableColumn id="11" xr3:uid="{8BEFDEB6-6887-4DD4-8C18-F2719B28042D}" name="TitleCo" dataDxfId="114"/>
    <tableColumn id="12" xr3:uid="{A50C44E8-2010-40FE-AA51-F62ED0697BF8}" name="TitleCoContact" dataDxfId="113"/>
    <tableColumn id="14" xr3:uid="{787E6AEB-8093-4347-8133-77EDF3699CED}" name="ListAgentName" dataDxfId="112"/>
    <tableColumn id="16" xr3:uid="{7D0EEB9D-3CA8-493E-BD65-9187E6C5A74F}" name="SellAgentName" dataDxfId="111"/>
    <tableColumn id="20" xr3:uid="{F21425BF-01E8-4FD5-B9BC-4D3F17FA4F1D}" name="CommFlatAmt" dataDxfId="110"/>
    <tableColumn id="21" xr3:uid="{0F31DB27-4CE2-4C6F-9634-698435A5304B}" name="CommPct" dataDxfId="109" dataCellStyle="Percent"/>
    <tableColumn id="22" xr3:uid="{D95B5951-3EFA-43BC-AD39-D716F86129C7}" name="ListingCommPct" dataDxfId="108" dataCellStyle="Percent"/>
    <tableColumn id="25" xr3:uid="{5F6C5F38-8587-40DD-960C-BB5DF39A3ECF}" name="ListingSideAmt" dataDxfId="107"/>
    <tableColumn id="26" xr3:uid="{03144BA0-B475-4E19-A014-4C7593855303}" name="SaleSideAmt" dataDxfId="106"/>
    <tableColumn id="27" xr3:uid="{FC67EF11-B170-43E4-B08D-214A6FFAE752}" name="FlatFee" dataDxfId="105"/>
    <tableColumn id="31" xr3:uid="{476938E8-889C-46C7-A11C-C8320FD057B9}" name="EMAmt" dataDxfId="104"/>
    <tableColumn id="32" xr3:uid="{807E2C33-8391-4865-947A-A1A548B21025}" name="EMHold" dataDxfId="103"/>
    <tableColumn id="33" xr3:uid="{EE31E630-DD5F-4A3C-9210-CC8ABE9DCA37}" name="HomeWarranty" dataDxfId="102"/>
    <tableColumn id="34" xr3:uid="{A360AE07-E902-45EB-86CE-FB9BA9F89241}" name="HSA" dataDxfId="101"/>
    <tableColumn id="35" xr3:uid="{3BBB7FC1-52CD-4D66-B8BA-0580CD145D48}" name="HWPay" dataDxfId="10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5C82FC0-DE6E-4FC7-9206-02159F2C2998}" name="TransactionCalc" displayName="TransactionCalc" ref="A6:Y30" totalsRowShown="0" headerRowDxfId="99" dataDxfId="97" headerRowBorderDxfId="98" tableBorderDxfId="96" totalsRowBorderDxfId="95">
  <autoFilter ref="A6:Y30" xr:uid="{4AF48633-270B-4050-993E-1995BB1027DC}"/>
  <tableColumns count="25">
    <tableColumn id="1" xr3:uid="{D3865B93-6875-4DAC-AEA3-9F35C9F31713}" name="TransactionID" dataDxfId="94"/>
    <tableColumn id="2" xr3:uid="{EF1C361D-B6AC-4275-A97D-635D20C7E09B}" name="Address" dataDxfId="73">
      <calculatedColumnFormula>_xlfn.XLOOKUP(TransactionCalc[[#This Row],[TransactionID]],TransactionFact[TransactionID],TransactionFact[Address],"")</calculatedColumnFormula>
    </tableColumn>
    <tableColumn id="3" xr3:uid="{461BF46E-EE20-41CB-8D98-9A8C99AD2069}" name="ListAgentOffice" dataDxfId="93">
      <calculatedColumnFormula>_xlfn.XLOOKUP(TransactionCalc[[#This Row],[ListAgentName]],Agent[AgentName],Agent[Office],"")</calculatedColumnFormula>
    </tableColumn>
    <tableColumn id="4" xr3:uid="{DD967B3C-A01B-42D3-A79D-BE8981A52068}" name="SellAgentOffice" dataDxfId="92" dataCellStyle="Currency">
      <calculatedColumnFormula>_xlfn.XLOOKUP(TransactionCalc[[#This Row],[SellAgentName]],Agent[AgentName],Agent[Office],"")</calculatedColumnFormula>
    </tableColumn>
    <tableColumn id="5" xr3:uid="{596FC81D-523D-45F5-A3C4-2AE4A482F383}" name="HHListing" dataDxfId="91">
      <calculatedColumnFormula>IF(TransactionCalc[[#This Row],[ListAgentOffice]]="HH","Yes","No")</calculatedColumnFormula>
    </tableColumn>
    <tableColumn id="6" xr3:uid="{BB37F90E-123C-4CD2-B668-4E6CCB10761E}" name="HHSale" dataDxfId="90">
      <calculatedColumnFormula>IF(TransactionCalc[[#This Row],[SellAgentOffice]]="HH","Yes","No")</calculatedColumnFormula>
    </tableColumn>
    <tableColumn id="7" xr3:uid="{EBA20914-C13E-4587-A223-62A78F512795}" name="SaleCommPct" dataDxfId="19" dataCellStyle="Percent">
      <calculatedColumnFormula>IFERROR(TransactionCalc[[#This Row],[CommPct]]-TransactionCalc[[#This Row],[ListingCommPct]],0)</calculatedColumnFormula>
    </tableColumn>
    <tableColumn id="8" xr3:uid="{2963F35F-D983-456B-AD8D-76BB2E6FAA9F}" name="TotalComm" dataDxfId="18">
      <calculatedColumnFormula>IFERROR(IF(TransactionCalc[[#This Row],[CommPct]]&gt;0,TransactionCalc[[#This Row],[SalePrice]]*TransactionCalc[[#This Row],[CommPct]],TransactionCalc[[#This Row],[CommFlatAmt]]),0)</calculatedColumnFormula>
    </tableColumn>
    <tableColumn id="9" xr3:uid="{B8A783AA-EEF4-4A2A-AF15-8674EFA7763E}" name="FlatFeeAmt" dataDxfId="89">
      <calculatedColumnFormula>IF(_xlfn.XLOOKUP(TransactionCalc[[#This Row],[TransactionID]],TransactionFact[TransactionID],TransactionFact[FlatFee],"")="Yes",FlatFee,0)</calculatedColumnFormula>
    </tableColumn>
    <tableColumn id="10" xr3:uid="{302EC1BC-C003-4E7E-9E82-538273266923}" name="HHRevenue" dataDxfId="88">
      <calculatedColumnFormula>IF(TransactionCalc[[#This Row],[HHListing]]="Yes",TransactionCalc[[#This Row],[ListingSideAmt]],0)+IF(TransactionCalc[[#This Row],[HHSale]]="Yes",TransactionCalc[[#This Row],[SaleSideAmt]],0)+TransactionCalc[[#This Row],[FlatFeeAmt]]</calculatedColumnFormula>
    </tableColumn>
    <tableColumn id="11" xr3:uid="{A14EED02-9D07-4C1A-81D2-7BD6D0BE371A}" name="CommFlag" dataDxfId="17">
      <calculatedColumnFormula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calculatedColumnFormula>
    </tableColumn>
    <tableColumn id="14" xr3:uid="{7DE8485C-B8C6-4909-9CEA-30B4B518A734}" name="ListAgentName" dataDxfId="87">
      <calculatedColumnFormula>_xlfn.XLOOKUP(TransactionCalc[[#This Row],[TransactionID]],TransactionFact[TransactionID],TransactionFact[ListAgentName],"")</calculatedColumnFormula>
    </tableColumn>
    <tableColumn id="16" xr3:uid="{35B98F32-CFEE-4131-84DB-F25C779633EA}" name="SellAgentName" dataDxfId="86">
      <calculatedColumnFormula>_xlfn.XLOOKUP(TransactionCalc[[#This Row],[TransactionID]],TransactionFact[TransactionID],TransactionFact[SellAgentName],"")</calculatedColumnFormula>
    </tableColumn>
    <tableColumn id="20" xr3:uid="{7667550E-CAE5-4F0A-AE5D-83E53BAA3C4F}" name="CommFlatAmt" dataDxfId="85">
      <calculatedColumnFormula>_xlfn.XLOOKUP(TransactionCalc[[#This Row],[TransactionID]],TransactionFact[TransactionID],TransactionFact[CommFlatAmt],"")</calculatedColumnFormula>
    </tableColumn>
    <tableColumn id="21" xr3:uid="{69EB1067-2A84-4D7B-A12D-283FBF48960C}" name="CommPct" dataDxfId="84" dataCellStyle="Percent">
      <calculatedColumnFormula>_xlfn.XLOOKUP(TransactionCalc[[#This Row],[TransactionID]],TransactionFact[TransactionID],TransactionFact[CommPct],"")</calculatedColumnFormula>
    </tableColumn>
    <tableColumn id="22" xr3:uid="{3AE4F312-9C12-4DA2-8E45-0431B4478D70}" name="ListingCommPct" dataDxfId="83" dataCellStyle="Percent">
      <calculatedColumnFormula>_xlfn.XLOOKUP(TransactionCalc[[#This Row],[TransactionID]],TransactionFact[TransactionID],TransactionFact[ListingCommPct],"")</calculatedColumnFormula>
    </tableColumn>
    <tableColumn id="25" xr3:uid="{43C4E05C-B45B-41FD-A576-F44008C590A2}" name="ListingSideAmt" dataDxfId="82">
      <calculatedColumnFormula>_xlfn.XLOOKUP(TransactionCalc[[#This Row],[TransactionID]],TransactionFact[TransactionID],TransactionFact[ListingSideAmt],"")</calculatedColumnFormula>
    </tableColumn>
    <tableColumn id="26" xr3:uid="{F127FAB2-1272-4020-8027-A75579D906BA}" name="SaleSideAmt" dataDxfId="81">
      <calculatedColumnFormula>_xlfn.XLOOKUP(TransactionCalc[[#This Row],[TransactionID]],TransactionFact[TransactionID],TransactionFact[SaleSideAmt],"")</calculatedColumnFormula>
    </tableColumn>
    <tableColumn id="27" xr3:uid="{D402D74C-D638-4882-B2BC-3B32883F7CD8}" name="FlatFee" dataDxfId="80">
      <calculatedColumnFormula>_xlfn.XLOOKUP(TransactionCalc[[#This Row],[TransactionID]],TransactionFact[TransactionID],TransactionFact[FlatFee],"")</calculatedColumnFormula>
    </tableColumn>
    <tableColumn id="31" xr3:uid="{2DB258BA-754B-432A-A320-7D2079D6FDA2}" name="EMAmt" dataDxfId="79">
      <calculatedColumnFormula>_xlfn.XLOOKUP(TransactionCalc[[#This Row],[TransactionID]],TransactionFact[TransactionID],TransactionFact[EMAmt],"")</calculatedColumnFormula>
    </tableColumn>
    <tableColumn id="32" xr3:uid="{5C992B50-4AC4-4CF2-8AFE-BF2B7E54B19E}" name="EMHold" dataDxfId="78">
      <calculatedColumnFormula>_xlfn.XLOOKUP(TransactionCalc[[#This Row],[TransactionID]],TransactionFact[TransactionID],TransactionFact[EMHold],"")</calculatedColumnFormula>
    </tableColumn>
    <tableColumn id="33" xr3:uid="{706E64BF-29A0-4F32-8A4A-BF0EE8E6D34C}" name="HomeWarranty" dataDxfId="77">
      <calculatedColumnFormula>_xlfn.XLOOKUP(TransactionCalc[[#This Row],[TransactionID]],TransactionFact[TransactionID],TransactionFact[HomeWarranty],"")</calculatedColumnFormula>
    </tableColumn>
    <tableColumn id="34" xr3:uid="{104BEAA6-76D8-4E5A-9884-7BC7639EC0AC}" name="HSA" dataDxfId="76">
      <calculatedColumnFormula>_xlfn.XLOOKUP(TransactionCalc[[#This Row],[TransactionID]],TransactionFact[TransactionID],TransactionFact[HSA],"")</calculatedColumnFormula>
    </tableColumn>
    <tableColumn id="35" xr3:uid="{A069ACBA-441D-4651-B5BC-E7BE5D7D1590}" name="HWPay" dataDxfId="75">
      <calculatedColumnFormula>_xlfn.XLOOKUP(TransactionCalc[[#This Row],[TransactionID]],TransactionFact[TransactionID],TransactionFact[HWPay],"")</calculatedColumnFormula>
    </tableColumn>
    <tableColumn id="39" xr3:uid="{A986E2DA-5FA8-4A94-B03B-38330B62A341}" name="SalePrice" dataDxfId="74">
      <calculatedColumnFormula>_xlfn.XLOOKUP(TransactionCalc[[#This Row],[TransactionID]],TransactionFact[TransactionID],TransactionFact[SalePrice],"")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FF39BB3-A942-4F02-80FB-FD5BBC9E8D19}" name="ChecklistTable" displayName="ChecklistTable" ref="A6:AW30" totalsRowShown="0" headerRowDxfId="72" dataDxfId="71" headerRowBorderDxfId="69" tableBorderDxfId="70" totalsRowBorderDxfId="68">
  <autoFilter ref="A6:AW30" xr:uid="{4AF48633-270B-4050-993E-1995BB1027DC}"/>
  <tableColumns count="49">
    <tableColumn id="1" xr3:uid="{09D5A70E-51DA-45FB-942E-4F5D9FD777E9}" name="TransactionID" dataDxfId="67"/>
    <tableColumn id="37" xr3:uid="{EEA7BAAF-8EF7-4441-8786-8A0D770F96C2}" name="MLSPrintout" dataDxfId="66"/>
    <tableColumn id="2" xr3:uid="{309863DF-FCD9-4087-B7E0-524909BF319C}" name="FHAVAAddendum" dataDxfId="64"/>
    <tableColumn id="3" xr3:uid="{03F16C2A-4EF0-444B-A976-6728B6FB51C6}" name="AgencyDisclosure" dataDxfId="63"/>
    <tableColumn id="4" xr3:uid="{29201F93-A68E-4239-A3A7-AF387431E765}" name="CondoAddendum" dataDxfId="62" dataCellStyle="Currency"/>
    <tableColumn id="5" xr3:uid="{BD5739D6-44BD-40BC-9389-A83CA54B68EA}" name="ConsumerGuide" dataDxfId="61"/>
    <tableColumn id="6" xr3:uid="{FFA743EC-326C-48DA-B907-20D77E7C44F6}" name="PurchaseAgreement" dataDxfId="60"/>
    <tableColumn id="7" xr3:uid="{12EC0707-17DF-4B9A-970C-2F6A859F6FE9}" name="ABA" dataDxfId="59" dataCellStyle="Currency"/>
    <tableColumn id="8" xr3:uid="{2B5E8C1B-FCCE-4A85-A072-96119DF8239E}" name="ABAPOD" dataDxfId="58"/>
    <tableColumn id="9" xr3:uid="{0A257F96-DA87-443C-A31C-5C06E312297F}" name="PropertyDisclosure" dataDxfId="57"/>
    <tableColumn id="10" xr3:uid="{6A6462C7-805F-4DF3-A900-7FBDFE975FC2}" name="HWAppReceived" dataDxfId="56"/>
    <tableColumn id="11" xr3:uid="{D3B2BAAF-1F74-4409-9A72-914074D81019}" name="EBRA" dataDxfId="55"/>
    <tableColumn id="12" xr3:uid="{8166641D-E06E-4BCE-BF4F-B312D2F76EE7}" name="LBPDisclosure" dataDxfId="54"/>
    <tableColumn id="14" xr3:uid="{4CA176CE-432B-4B38-85AF-C74426037D3D}" name="OtherDocs" dataDxfId="65"/>
    <tableColumn id="16" xr3:uid="{072DC489-AEC7-4348-9806-AB5FF646979C}" name="HomeInspDisclosure" dataDxfId="53"/>
    <tableColumn id="20" xr3:uid="{C7BB685F-92A8-4BA8-B71C-E51FFD7C319C}" name="AntiFraudDisclosure" dataDxfId="52"/>
    <tableColumn id="21" xr3:uid="{C5DEC5B2-E6A6-430E-A255-3CBC8E82F944}" name="PreApprovalProof" dataDxfId="51" dataCellStyle="Percent"/>
    <tableColumn id="22" xr3:uid="{AFDAB37A-8D31-4396-B066-DED07A63B3A3}" name="MLSStatusChange" dataDxfId="50" dataCellStyle="Percent"/>
    <tableColumn id="25" xr3:uid="{69721D35-DA1A-4A96-B30F-3DCE198A87F8}" name="ZipFormsSaleFile" dataDxfId="49"/>
    <tableColumn id="26" xr3:uid="{90D344D0-47E2-463D-9E67-40A3EC22BB04}" name="ZipFormsEBRA" dataDxfId="48"/>
    <tableColumn id="27" xr3:uid="{B6E5302D-6EBC-40B8-BD3E-CC3B6F6C0BE0}" name="SentToDataEntry" dataDxfId="47"/>
    <tableColumn id="31" xr3:uid="{68E27097-6C28-4CB8-8B0E-7223DC9B55F9}" name="PrestartToTitle" dataDxfId="46"/>
    <tableColumn id="32" xr3:uid="{81A3A88C-4A7B-4D32-9987-80DE31F0DB0A}" name="ScanNoticeHHMS" dataDxfId="45"/>
    <tableColumn id="33" xr3:uid="{54199A0F-EABA-41FD-A131-E770C45D5EBD}" name="LogSalesBook" dataDxfId="44"/>
    <tableColumn id="34" xr3:uid="{0BB793A0-FC75-4997-8F95-CC2204A4B9E7}" name="FBPostWindowSheet" dataDxfId="43"/>
    <tableColumn id="35" xr3:uid="{B944F1F7-6A86-45B0-8961-BD0980CC08FF}" name="RecordRobSpreadsheet" dataDxfId="42"/>
    <tableColumn id="13" xr3:uid="{D923E108-04B8-4527-8101-88B3F7FE5B5A}" name="RegisterBuyerEBRA" dataDxfId="41"/>
    <tableColumn id="15" xr3:uid="{BFF54385-6FB5-43FA-9FED-D85EB46A6F75}" name="HWOrdered" dataDxfId="27"/>
    <tableColumn id="17" xr3:uid="{3E9AB100-954A-48CA-9F9B-72D556046070}" name="EMReceivedDeposited" dataDxfId="26"/>
    <tableColumn id="18" xr3:uid="{B6D91F45-3553-49E2-BCFD-C159A6250E83}" name="EMDepositMethod" dataDxfId="25"/>
    <tableColumn id="19" xr3:uid="{DFF5C576-F51D-4C79-9CEB-D06BCD3C9A46}" name="EMSentAccounting" dataDxfId="24"/>
    <tableColumn id="23" xr3:uid="{E9BBC67A-5013-40B0-BBCB-776F700C492B}" name="CopyPDriveZipForms" dataDxfId="23"/>
    <tableColumn id="24" xr3:uid="{4F75964E-7F8D-4D3C-A58B-099589AAB81E}" name="CommInvoiceToTitle" dataDxfId="21"/>
    <tableColumn id="28" xr3:uid="{68B6B933-C438-46AB-AB9D-0A5A95259D57}" name="ManagerSalesSheet" dataDxfId="22"/>
    <tableColumn id="29" xr3:uid="{DD9F197F-3653-4FAB-8A5A-296FD69CC35A}" name="CommInvoicePDrive" dataDxfId="40"/>
    <tableColumn id="30" xr3:uid="{ED513F81-2C44-43D5-9951-B2CB21ECB349}" name="SocialMediaSoldPost" dataDxfId="39"/>
    <tableColumn id="36" xr3:uid="{BC57A60F-4838-4117-81C1-6CBC7A2CB5B7}" name="MarkSoldMLS" dataDxfId="38"/>
    <tableColumn id="38" xr3:uid="{90EE950B-EC88-413B-AF94-DCFEE9089E74}" name="OrderSignDown" dataDxfId="37"/>
    <tableColumn id="39" xr3:uid="{4E5FC678-09EC-4665-9003-A4718188E941}" name="ZipFormsClosed" dataDxfId="36"/>
    <tableColumn id="40" xr3:uid="{CDEAAB7F-7D35-468D-8C71-7DBF8676F1A8}" name="RemoveWindowSheet" dataDxfId="35"/>
    <tableColumn id="41" xr3:uid="{FE082656-AB1B-4A62-A792-17A1205E2488}" name="BOMBMLSStatus" dataDxfId="34"/>
    <tableColumn id="42" xr3:uid="{A83918D3-2BEC-46CB-8DE3-8E6A63895DCA}" name="BOMBMutualRelease" dataDxfId="33"/>
    <tableColumn id="43" xr3:uid="{A014092F-D92E-49B6-909A-FC7A13597A26}" name="BOMBTitleNotified" dataDxfId="32"/>
    <tableColumn id="44" xr3:uid="{D604A634-762D-4C1A-9F9B-133D8E3AAF95}" name="BOMBCodedPP" dataDxfId="31"/>
    <tableColumn id="45" xr3:uid="{5191D2F2-5040-4D48-A936-15C1A6AA361A}" name="BOMBHWCanceled" dataDxfId="30"/>
    <tableColumn id="46" xr3:uid="{E84C3682-1EC9-495D-B1CB-D553F154C0E1}" name="BOMBZipFormsStatus" dataDxfId="29"/>
    <tableColumn id="47" xr3:uid="{502A386E-34B3-4922-B378-9B0DC9118396}" name="BOMBWindowSheet" dataDxfId="28"/>
    <tableColumn id="48" xr3:uid="{406045CA-FD0A-48E3-A78D-912298D3E886}" name="Progress" dataDxfId="13">
      <calculatedColumnFormula>IFERROR(COUNTIF(B7:AU7,"Complete")/(COUNTA(B7:AU7)-COUNTIF(B7:AU7,"N/A")),0)</calculatedColumnFormula>
    </tableColumn>
    <tableColumn id="49" xr3:uid="{6181AE62-33ED-4BBD-BD59-457A4D258E9A}" name="Status" dataDxfId="12">
      <calculatedColumnFormula>IF(AV7=0,"Not Started",IF(AV7=1,"Complete","In Progress"))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E9F6CC5-9E12-4428-98D7-A80B261DBCEA}" name="TransactionFields" displayName="TransactionFields" ref="A2:I39" totalsRowShown="0">
  <autoFilter ref="A2:I39" xr:uid="{FE9F6CC5-9E12-4428-98D7-A80B261DBCEA}"/>
  <tableColumns count="9">
    <tableColumn id="1" xr3:uid="{1823C817-80EC-4EA9-BC82-9350EE401304}" name="Column Header"/>
    <tableColumn id="14" xr3:uid="{3BA41F6C-A5A6-45C9-BF5A-AC25729B2DCA}" name="Data"/>
    <tableColumn id="2" xr3:uid="{933E6D11-A7C2-4BED-81BE-9442C1EC2492}" name="Type"/>
    <tableColumn id="3" xr3:uid="{D3DFB474-ED18-4B14-B122-9750B4534552}" name="Format"/>
    <tableColumn id="4" xr3:uid="{A0A2D77C-8A51-4D69-9192-D4D28F596D97}" name="Source / Validation"/>
    <tableColumn id="5" xr3:uid="{6C25CC4F-DEBD-4D84-9AB5-68CCED4ED026}" name="Required?"/>
    <tableColumn id="10" xr3:uid="{3CC05397-A08C-4610-8337-C03956AF73C4}" name="Category" dataDxfId="132"/>
    <tableColumn id="11" xr3:uid="{FE06BFE3-8848-4F26-A024-8A033183B813}" name="Type3" dataDxfId="131"/>
    <tableColumn id="13" xr3:uid="{A3526E66-41AD-4326-925B-FCAC74D737CB}" name="Source" dataDxfId="13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" displayName="Status" ref="A3:B8">
  <autoFilter ref="A3:B8" xr:uid="{00000000-0009-0000-0100-000002000000}"/>
  <tableColumns count="2">
    <tableColumn id="1" xr3:uid="{00000000-0010-0000-0100-000001000000}" name="Status"/>
    <tableColumn id="3" xr3:uid="{58D28FB5-8526-4F07-B725-DF5490AC0FFD}" name="Bucket" dataDxfId="137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LoanType" displayName="LoanType" ref="D3:E10">
  <autoFilter ref="D3:E10" xr:uid="{00000000-0009-0000-0100-000003000000}"/>
  <tableColumns count="2">
    <tableColumn id="4" xr3:uid="{00000000-0010-0000-0200-000004000000}" name="Loan Type"/>
    <tableColumn id="5" xr3:uid="{00000000-0010-0000-0200-000005000000}" name="Labe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EMHold" displayName="EMHold" ref="A13:B20">
  <autoFilter ref="A13:B20" xr:uid="{00000000-0009-0000-0100-000004000000}"/>
  <tableColumns count="2">
    <tableColumn id="7" xr3:uid="{00000000-0010-0000-0300-000007000000}" name="EMHold"/>
    <tableColumn id="8" xr3:uid="{00000000-0010-0000-0300-000008000000}" name="Labe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HWPay" displayName="HWPay" ref="D13:D18">
  <autoFilter ref="D13:D18" xr:uid="{00000000-0009-0000-0100-000005000000}"/>
  <tableColumns count="1">
    <tableColumn id="10" xr3:uid="{00000000-0010-0000-0400-00000A000000}" name="HWPay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YN" displayName="YN" ref="A29:A31">
  <autoFilter ref="A29:A31" xr:uid="{00000000-0009-0000-0100-000006000000}"/>
  <tableColumns count="1">
    <tableColumn id="13" xr3:uid="{00000000-0010-0000-0500-00000D000000}" name="YN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6E8E689-80D0-4C1B-A121-DD357D87685F}" name="Fact" displayName="Fact" ref="A23:B25">
  <autoFilter ref="A23:B25" xr:uid="{26E8E689-80D0-4C1B-A121-DD357D87685F}"/>
  <tableColumns count="2">
    <tableColumn id="1" xr3:uid="{573F746C-5F66-4C1B-9E1A-FD6AFC686F85}" name="Fact"/>
    <tableColumn id="3" xr3:uid="{8ED946A4-0E1E-4606-AA9A-2F09178A5998}" name="Value" dataDxfId="136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C3741CA-BB93-4C6C-B380-C7160B49BC78}" name="Checklist" displayName="Checklist" ref="G3:N49" totalsRowShown="0">
  <autoFilter ref="G3:N49" xr:uid="{3C3741CA-BB93-4C6C-B380-C7160B49BC78}"/>
  <tableColumns count="8">
    <tableColumn id="1" xr3:uid="{BFBF9A4C-F401-4D7B-B03D-F713C885F350}" name="Step"/>
    <tableColumn id="2" xr3:uid="{39F1108E-B1D5-4FA4-9605-8309C8F9CF97}" name="ColumnHeader"/>
    <tableColumn id="3" xr3:uid="{21F9340B-1B7B-42A6-A73A-8909D2E2EEE6}" name="Item"/>
    <tableColumn id="4" xr3:uid="{FDA60A1F-D8AC-45B7-9FEF-27EE58CC2B35}" name="Category"/>
    <tableColumn id="7" xr3:uid="{A933FD3A-BFF1-4C2C-AB90-6F374FA48446}" name="Type" dataDxfId="135"/>
    <tableColumn id="6" xr3:uid="{864BE4E7-1DDA-41EB-9933-F0E680AA66D3}" name="Format" dataDxfId="134"/>
    <tableColumn id="8" xr3:uid="{4D5BF4DA-702C-4C92-A43D-D490B5715CE2}" name="Source" dataDxfId="133"/>
    <tableColumn id="5" xr3:uid="{3888DFE6-4C7D-4115-9983-D1144D68A86B}" name="ConditionalLogic (Logic)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0A886-5C92-4649-BA1B-F220176FF62D}">
  <sheetPr codeName="Sheet11"/>
  <dimension ref="A1:E42"/>
  <sheetViews>
    <sheetView showGridLines="0" workbookViewId="0">
      <pane ySplit="2" topLeftCell="A3" activePane="bottomLeft" state="frozen"/>
      <selection pane="bottomLeft" activeCell="F38" sqref="F38"/>
    </sheetView>
    <sheetView workbookViewId="1"/>
  </sheetViews>
  <sheetFormatPr defaultRowHeight="14.5" x14ac:dyDescent="0.35"/>
  <cols>
    <col min="1" max="1" width="0.54296875" customWidth="1"/>
    <col min="2" max="2" width="52.7265625" customWidth="1"/>
    <col min="3" max="3" width="1.453125" customWidth="1"/>
    <col min="4" max="4" width="62.1796875" customWidth="1"/>
    <col min="5" max="5" width="0.54296875" customWidth="1"/>
    <col min="6" max="6" width="36.36328125" customWidth="1"/>
  </cols>
  <sheetData>
    <row r="1" spans="1:5" ht="35" customHeight="1" x14ac:dyDescent="0.6">
      <c r="A1" s="245" t="s">
        <v>590</v>
      </c>
      <c r="B1" s="26"/>
      <c r="C1" s="26"/>
      <c r="D1" s="26"/>
      <c r="E1" s="26"/>
    </row>
    <row r="2" spans="1:5" x14ac:dyDescent="0.35">
      <c r="A2" s="246" t="str">
        <f ca="1">CONCATENATE("Last Updated: ",TEXT(NOW(),"mmm d, yyyy h:mm AM/PM"))</f>
        <v>Last Updated: Feb 27, 2026 9:22 AM</v>
      </c>
      <c r="B2" s="26"/>
      <c r="C2" s="26"/>
      <c r="D2" s="26"/>
      <c r="E2" s="26"/>
    </row>
    <row r="3" spans="1:5" ht="8" customHeight="1" x14ac:dyDescent="0.35"/>
    <row r="4" spans="1:5" ht="25" customHeight="1" x14ac:dyDescent="0.35">
      <c r="B4" s="248" t="s">
        <v>591</v>
      </c>
      <c r="D4" s="250" t="s">
        <v>592</v>
      </c>
    </row>
    <row r="5" spans="1:5" ht="40" customHeight="1" x14ac:dyDescent="0.8">
      <c r="B5" s="249">
        <f>COUNTA(TransactionFact[TransactionID])</f>
        <v>24</v>
      </c>
      <c r="D5" s="251">
        <f ca="1">COUNTIFS(TransactionFact[ClosingDt],"&gt;="&amp;TODAY(),TransactionFact[ClosingDt],"&lt;="&amp;TODAY()+7)</f>
        <v>8</v>
      </c>
    </row>
    <row r="6" spans="1:5" ht="8" customHeight="1" x14ac:dyDescent="0.35"/>
    <row r="7" spans="1:5" ht="25" customHeight="1" x14ac:dyDescent="0.35">
      <c r="B7" s="252" t="s">
        <v>594</v>
      </c>
      <c r="D7" s="254" t="s">
        <v>597</v>
      </c>
    </row>
    <row r="8" spans="1:5" ht="35" customHeight="1" x14ac:dyDescent="0.65">
      <c r="B8" s="253">
        <f>SUM(TransactionCalc[HHRevenue])</f>
        <v>158997.20000000001</v>
      </c>
      <c r="D8" s="255">
        <f>COUNTIF(TransactionCalc[CommFlag],"MISMATCH*")</f>
        <v>1</v>
      </c>
    </row>
    <row r="9" spans="1:5" ht="8" customHeight="1" x14ac:dyDescent="0.35"/>
    <row r="10" spans="1:5" ht="22" customHeight="1" x14ac:dyDescent="0.35">
      <c r="B10" s="269" t="str" cm="1">
        <f t="array" ref="B10">"🚨 EARNEST MONEY NOT RECEIVED ("&amp;IFERROR(ROWS(_xlfn._xlws.FILTER(TransactionFact[EMAmt],(TransactionFact[EMAmt]&gt;0)*(_xlfn.XLOOKUP(TransactionFact[TransactionID],ChecklistTable[TransactionID],ChecklistTable[EMReceivedDeposited],"")&lt;&gt;"Complete")*(_xlfn.XLOOKUP(TransactionFact[TransactionID],ChecklistTable[TransactionID],ChecklistTable[EMReceivedDeposited],"")&lt;&gt;"N/A"))),0)&amp;" pending)"</f>
        <v>🚨 EARNEST MONEY NOT RECEIVED (6 pending)</v>
      </c>
      <c r="D10" s="270" t="str">
        <f ca="1">"📅 CLOSINGS WITHIN 14 DAYS ("&amp;COUNTIFS(TransactionFact[ClosingDt],"&gt;="&amp;TODAY(),TransactionFact[ClosingDt],"&lt;="&amp;TODAY()+14)&amp;" transactions)"</f>
        <v>📅 CLOSINGS WITHIN 14 DAYS (13 transactions)</v>
      </c>
    </row>
    <row r="11" spans="1:5" ht="18" customHeight="1" x14ac:dyDescent="0.35">
      <c r="B11" s="256" t="s">
        <v>598</v>
      </c>
      <c r="D11" s="257" t="s">
        <v>599</v>
      </c>
    </row>
    <row r="12" spans="1:5" x14ac:dyDescent="0.35">
      <c r="B12" s="258" t="str" cm="1">
        <f t="array" ref="B12:B17">IFERROR(_xlfn.TAKE(_xlfn.LET(
        _xlpm.addr,TransactionFact[Address],
        _xlpm.closing,TransactionFact[ClosingDt],
        _xlpm.emamt,TransactionFact[EMAmt],
        _xlpm.emhold,TransactionFact[EMHold],
        _xlpm.tid,TransactionFact[TransactionID],
        _xlpm.emreceived,_xlfn.XLOOKUP(_xlpm.tid,ChecklistTable[TransactionID],ChecklistTable[EMReceivedDeposited],""),
        _xlpm.filtered,_xlfn._xlws.FILTER(_xlfn.HSTACK(_xlpm.addr,_xlpm.closing,_xlpm.emamt,_xlpm.emhold),
            (_xlpm.emamt&gt;0)*(_xlpm.emreceived&lt;&gt;"Complete")*(_xlpm.emreceived&lt;&gt;"N/A")),
        _xlpm.sorted,_xlfn._xlws.SORT(_xlpm.filtered,2,1),
        INDEX(_xlpm.sorted,,1)&amp;" | "&amp;TEXT(INDEX(_xlpm.sorted,,2),"m/d")&amp;" | $"&amp;TEXT(INDEX(_xlpm.sorted,,3),"#,##0")&amp;" | "&amp;IF(INDEX(_xlpm.sorted,,4)=0,"",INDEX(_xlpm.sorted,,4))),7),"✓ All EM received")</f>
        <v xml:space="preserve">744 Lawrence, Wadsworth 44281 | 2/16 | $1,000 | </v>
      </c>
      <c r="C12" s="259"/>
      <c r="D12" s="275" t="str" cm="1">
        <f t="array" aca="1" ref="D12:D18" ca="1">IFERROR(_xlfn.TAKE(_xlfn.LET(
        _xlpm.addr,TransactionFact[Address],
        _xlpm.closing,TransactionFact[ClosingDt],
        _xlpm.days,_xlpm.closing-TODAY(),
        _xlpm.filtered,_xlfn._xlws.FILTER(_xlfn.HSTACK(_xlpm.addr,_xlpm.closing,_xlpm.days),(_xlpm.closing&gt;=TODAY())*(_xlpm.closing&lt;=TODAY()+14)),
        _xlpm.sorted,_xlfn._xlws.SORT(_xlpm.filtered,3,1),
        INDEX(_xlpm.sorted,,1)&amp;" | "&amp;TEXT(INDEX(_xlpm.sorted,,2),"m/d/yy")&amp;" | "&amp;INDEX(_xlpm.sorted,,3)&amp;" days"),7),"✓ No closings in next 14 days")</f>
        <v>1774 Hila Way, Wooster 44691 | 2/27/26 | 0 days</v>
      </c>
    </row>
    <row r="13" spans="1:5" x14ac:dyDescent="0.35">
      <c r="B13" s="258" t="str">
        <v xml:space="preserve">1821 Myersville, Akron 44312 | 2/26 | $1,000 | </v>
      </c>
      <c r="C13" s="259"/>
      <c r="D13" s="275" t="str">
        <f ca="1"/>
        <v>92 30th, Barberton 44203 | 2/27/26 | 0 days</v>
      </c>
    </row>
    <row r="14" spans="1:5" x14ac:dyDescent="0.35">
      <c r="B14" s="258" t="str">
        <v xml:space="preserve">6116 Boneta, Medina 44256 | 3/4 | $3,000 | </v>
      </c>
      <c r="C14" s="259"/>
      <c r="D14" s="275" t="str">
        <f ca="1"/>
        <v>2736 Applehill, Robertsville 44670 | 2/27/26 | 0 days</v>
      </c>
    </row>
    <row r="15" spans="1:5" x14ac:dyDescent="0.35">
      <c r="B15" s="258" t="str">
        <v xml:space="preserve">281 Park Pl, Wadsworth 44281 | 3/5 | $2,000 | </v>
      </c>
      <c r="C15" s="259"/>
      <c r="D15" s="275" t="str">
        <f ca="1"/>
        <v>18592 Edwards #169, Doylestown 44230 | 3/3/26 | 4 days</v>
      </c>
    </row>
    <row r="16" spans="1:5" x14ac:dyDescent="0.35">
      <c r="B16" s="258" t="str">
        <v xml:space="preserve">552 Main #H, Wadsworth 44281 | 3/12 | $1,000 | </v>
      </c>
      <c r="C16" s="259"/>
      <c r="D16" s="275" t="str">
        <f ca="1"/>
        <v>6116 Boneta, Medina 44256 | 3/4/26 | 5 days</v>
      </c>
    </row>
    <row r="17" spans="2:4" x14ac:dyDescent="0.35">
      <c r="B17" s="258" t="str">
        <v>349 E Hopocan, Barberton 44203 | 3/27 | $500 | HH</v>
      </c>
      <c r="C17" s="259"/>
      <c r="D17" s="275" t="str">
        <f ca="1"/>
        <v>281 Park Pl, Wadsworth 44281 | 3/5/26 | 6 days</v>
      </c>
    </row>
    <row r="18" spans="2:4" x14ac:dyDescent="0.35">
      <c r="B18" s="258"/>
      <c r="C18" s="259"/>
      <c r="D18" s="275" t="str">
        <f ca="1"/>
        <v>133 Beck, Wadsworth 44281 | 3/6/26 | 7 days</v>
      </c>
    </row>
    <row r="19" spans="2:4" x14ac:dyDescent="0.35">
      <c r="B19" s="260"/>
      <c r="C19" s="259"/>
      <c r="D19" s="276"/>
    </row>
    <row r="20" spans="2:4" ht="8" customHeight="1" x14ac:dyDescent="0.35">
      <c r="B20" s="259"/>
      <c r="C20" s="259"/>
      <c r="D20" s="259"/>
    </row>
    <row r="21" spans="2:4" ht="22" customHeight="1" x14ac:dyDescent="0.35">
      <c r="B21" s="271" t="str">
        <f>"📋 LOW PROGRESS CHECKLISTS ("&amp;COUNTIF(ChecklistTable[Progress],"&lt;0.5")&amp;" need attention)"</f>
        <v>📋 LOW PROGRESS CHECKLISTS (11 need attention)</v>
      </c>
      <c r="C21" s="259"/>
      <c r="D21" s="272" t="str">
        <f>"🏢 MISSING TITLE COMPANY ("&amp;COUNTIFS(TransactionFact[TitleCo],"=")+COUNTIFS(TransactionFact[TitleCo],0)&amp;" properties)"</f>
        <v>🏢 MISSING TITLE COMPANY (19 properties)</v>
      </c>
    </row>
    <row r="22" spans="2:4" ht="18" customHeight="1" x14ac:dyDescent="0.35">
      <c r="B22" s="261" t="s">
        <v>595</v>
      </c>
      <c r="C22" s="259"/>
      <c r="D22" s="262" t="s">
        <v>596</v>
      </c>
    </row>
    <row r="23" spans="2:4" x14ac:dyDescent="0.35">
      <c r="B23" s="277" t="str" cm="1">
        <f t="array" ref="B23:B29">IFERROR(_xlfn.TAKE(_xlfn.LET(_xlpm.tid,ChecklistTable[TransactionID],_xlpm.prog,ChecklistTable[Progress],_xlpm.stat,ChecklistTable[Status],_xlpm.addr,_xlfn.XLOOKUP(_xlpm.tid,TransactionFact[TransactionID],TransactionFact[Address],"Unknown"),_xlfn._xlws.FILTER(_xlpm.addr&amp;" | "&amp;TEXT(_xlpm.prog,"0%")&amp;" | "&amp;_xlpm.stat,_xlpm.prog&lt;0.5)),7),"✓ All checklists progressing well")</f>
        <v>998 Barn Swallow, Wadsworth 44281 | 33% | In Progress</v>
      </c>
      <c r="C23" s="259"/>
      <c r="D23" s="279" t="str" cm="1">
        <f t="array" ref="D23:D29">IFERROR(_xlfn.TAKE(_xlfn.LET(_xlpm.addr,TransactionFact[Address],_xlpm.closing,TransactionFact[ClosingDt],_xlpm.titleco,TransactionFact[TitleCo],_xlfn._xlws.FILTER(_xlpm.addr&amp;" | "&amp;TEXT(_xlpm.closing,"m/d/yy"),OR(_xlpm.titleco="",_xlpm.titleco=0))),7),"✓ All have title company")</f>
        <v>998 Barn Swallow, Wadsworth 44281 | 3/15/26</v>
      </c>
    </row>
    <row r="24" spans="2:4" x14ac:dyDescent="0.35">
      <c r="B24" s="277" t="str">
        <v>744 Lawrence, Wadsworth 44281 | 0% | Not Started</v>
      </c>
      <c r="C24" s="259"/>
      <c r="D24" s="279" t="str">
        <v>133 Beck, Wadsworth 44281 | 3/6/26</v>
      </c>
    </row>
    <row r="25" spans="2:4" x14ac:dyDescent="0.35">
      <c r="B25" s="277" t="str">
        <v>281 Park Pl, Wadsworth 44281 | 0% | Not Started</v>
      </c>
      <c r="C25" s="259"/>
      <c r="D25" s="279" t="str">
        <v>743 Bent Creek, Wadsworth 44281 | 3/7/26</v>
      </c>
    </row>
    <row r="26" spans="2:4" x14ac:dyDescent="0.35">
      <c r="B26" s="277" t="str">
        <v>92 30th, Barberton 44203 | 0% | Not Started</v>
      </c>
      <c r="C26" s="259"/>
      <c r="D26" s="279" t="str">
        <v>2644 Harpster, Rittman 44270 | 3/13/26</v>
      </c>
    </row>
    <row r="27" spans="2:4" x14ac:dyDescent="0.35">
      <c r="B27" s="277" t="str">
        <v>5052 Catawba, Seville 44273 | 0% | Not Started</v>
      </c>
      <c r="C27" s="259"/>
      <c r="D27" s="279" t="str">
        <v>1774 Hila Way, Wooster 44691 | 2/27/26</v>
      </c>
    </row>
    <row r="28" spans="2:4" x14ac:dyDescent="0.35">
      <c r="B28" s="277" t="str">
        <v>216 N. Lyman, Wadsworth 44281 | 0% | Not Started</v>
      </c>
      <c r="C28" s="259"/>
      <c r="D28" s="279" t="str">
        <v>744 Lawrence, Wadsworth 44281 | 2/16/26</v>
      </c>
    </row>
    <row r="29" spans="2:4" x14ac:dyDescent="0.35">
      <c r="B29" s="277" t="str">
        <v>6407 Southview, Clinton 44216 | 0% | Not Started</v>
      </c>
      <c r="C29" s="259"/>
      <c r="D29" s="279" t="str">
        <v>281 Park Pl, Wadsworth 44281 | 3/5/26</v>
      </c>
    </row>
    <row r="30" spans="2:4" x14ac:dyDescent="0.35">
      <c r="B30" s="278"/>
      <c r="C30" s="259"/>
      <c r="D30" s="280"/>
    </row>
    <row r="31" spans="2:4" ht="8" customHeight="1" x14ac:dyDescent="0.35">
      <c r="B31" s="259"/>
      <c r="C31" s="259"/>
      <c r="D31" s="259"/>
    </row>
    <row r="32" spans="2:4" ht="22" customHeight="1" x14ac:dyDescent="0.35">
      <c r="B32" s="273" t="str">
        <f>"⚠️ COMMISSION MISMATCHES ("&amp;COUNTIF(TransactionCalc[CommFlag],"MISMATCH*")&amp;" issues)"</f>
        <v>⚠️ COMMISSION MISMATCHES (1 issues)</v>
      </c>
      <c r="C32" s="259"/>
      <c r="D32" s="274" t="s">
        <v>600</v>
      </c>
    </row>
    <row r="33" spans="1:5" x14ac:dyDescent="0.35">
      <c r="B33" s="263" t="s">
        <v>593</v>
      </c>
      <c r="C33" s="259"/>
      <c r="D33" s="264" t="s">
        <v>601</v>
      </c>
    </row>
    <row r="34" spans="1:5" x14ac:dyDescent="0.35">
      <c r="B34" s="265" t="str" cm="1">
        <f t="array" ref="B34">_xlfn.LET(
        _xlpm.addr,TransactionCalc[Address],
        _xlpm.flag,TransactionCalc[CommFlag],
        _xlpm.result,_xlfn._xlws.FILTER(_xlpm.addr&amp;" | "&amp;_xlpm.flag,
            LEFT(_xlpm.flag,8)="MISMATCH",
            "✓ No commission issues"),
        _xlpm.result)</f>
        <v>3179 Vanderhoof, Clinton 44216 | MISMATCH: $0 vs $5000</v>
      </c>
      <c r="C34" s="259"/>
      <c r="D34" s="266" t="str" cm="1">
        <f t="array" ref="D34:D39">_xlfn.LET(
        _xlpm.types,_xlfn.UNIQUE(TransactionFact[LoanType]),
        _xlpm.counts,COUNTIF(TransactionFact[LoanType],_xlpm.types),
        _xlpm.avgs,AVERAGEIF(TransactionFact[LoanType],_xlpm.types,TransactionFact[SalePrice]),
        _xlfn.SORTBY(_xlpm.types&amp;" | "&amp;_xlpm.counts&amp;" | $"&amp;TEXT(_xlpm.avgs,"#,##0"),_xlpm.counts,-1))</f>
        <v>CONV | 11 | $267,582</v>
      </c>
    </row>
    <row r="35" spans="1:5" x14ac:dyDescent="0.35">
      <c r="B35" s="265"/>
      <c r="C35" s="259"/>
      <c r="D35" s="266" t="str">
        <v>CASH | 6 | $157,083</v>
      </c>
    </row>
    <row r="36" spans="1:5" x14ac:dyDescent="0.35">
      <c r="B36" s="265"/>
      <c r="C36" s="259"/>
      <c r="D36" s="266" t="str">
        <v>FHA | 4 | $237,000</v>
      </c>
    </row>
    <row r="37" spans="1:5" x14ac:dyDescent="0.35">
      <c r="B37" s="265"/>
      <c r="C37" s="259"/>
      <c r="D37" s="266" t="str">
        <v>New Const | 1 | $617,785</v>
      </c>
    </row>
    <row r="38" spans="1:5" x14ac:dyDescent="0.35">
      <c r="B38" s="265"/>
      <c r="C38" s="259"/>
      <c r="D38" s="266" t="str">
        <v>Eq. Ln | 1 | $266,000</v>
      </c>
    </row>
    <row r="39" spans="1:5" x14ac:dyDescent="0.35">
      <c r="B39" s="265"/>
      <c r="C39" s="259"/>
      <c r="D39" s="266" t="str">
        <v>VA | 1 | $325,000</v>
      </c>
    </row>
    <row r="40" spans="1:5" x14ac:dyDescent="0.35">
      <c r="B40" s="267"/>
      <c r="C40" s="259"/>
      <c r="D40" s="268"/>
    </row>
    <row r="41" spans="1:5" ht="8" customHeight="1" x14ac:dyDescent="0.35"/>
    <row r="42" spans="1:5" x14ac:dyDescent="0.35">
      <c r="A42" s="247" t="s">
        <v>602</v>
      </c>
      <c r="B42" s="247"/>
      <c r="C42" s="247"/>
      <c r="D42" s="247"/>
      <c r="E42" s="247"/>
    </row>
  </sheetData>
  <mergeCells count="3">
    <mergeCell ref="A1:E1"/>
    <mergeCell ref="A2:E2"/>
    <mergeCell ref="A42:E4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5A6A2-91A6-4C2F-8565-5E2B4B4B6F1A}">
  <sheetPr codeName="Sheet7">
    <tabColor rgb="FFFFFF99"/>
  </sheetPr>
  <dimension ref="A1:BC61"/>
  <sheetViews>
    <sheetView tabSelected="1" workbookViewId="0">
      <pane ySplit="2" topLeftCell="A3" activePane="bottomLeft" state="frozen"/>
      <selection pane="bottomLeft" activeCell="C20" sqref="C20"/>
    </sheetView>
    <sheetView workbookViewId="1">
      <selection activeCell="F21" sqref="F21"/>
    </sheetView>
  </sheetViews>
  <sheetFormatPr defaultRowHeight="14.5" x14ac:dyDescent="0.35"/>
  <cols>
    <col min="1" max="1" width="1.81640625" customWidth="1"/>
    <col min="2" max="2" width="27.6328125" bestFit="1" customWidth="1"/>
    <col min="3" max="3" width="32" style="56" bestFit="1" customWidth="1"/>
    <col min="4" max="4" width="2.7265625" customWidth="1"/>
    <col min="5" max="5" width="29.81640625" customWidth="1"/>
    <col min="6" max="6" width="22.08984375" style="56" customWidth="1"/>
    <col min="7" max="7" width="1.81640625" customWidth="1"/>
    <col min="9" max="9" width="12.54296875" hidden="1" customWidth="1"/>
    <col min="10" max="10" width="9.54296875" hidden="1" customWidth="1"/>
    <col min="11" max="11" width="7.7265625" hidden="1" customWidth="1"/>
    <col min="12" max="12" width="8.54296875" hidden="1" customWidth="1"/>
    <col min="13" max="13" width="8" hidden="1" customWidth="1"/>
    <col min="14" max="14" width="13.1796875" hidden="1" customWidth="1"/>
    <col min="15" max="15" width="9" hidden="1" customWidth="1"/>
    <col min="16" max="16" width="0" hidden="1" customWidth="1"/>
    <col min="17" max="17" width="9" hidden="1" customWidth="1"/>
    <col min="18" max="18" width="11.26953125" hidden="1" customWidth="1"/>
    <col min="19" max="19" width="6" hidden="1" customWidth="1"/>
    <col min="20" max="20" width="6.90625" hidden="1" customWidth="1"/>
    <col min="21" max="21" width="13.453125" hidden="1" customWidth="1"/>
    <col min="22" max="22" width="14" hidden="1" customWidth="1"/>
    <col min="23" max="23" width="14.26953125" hidden="1" customWidth="1"/>
    <col min="24" max="24" width="13.1796875" hidden="1" customWidth="1"/>
    <col min="25" max="25" width="9" hidden="1" customWidth="1"/>
    <col min="26" max="26" width="14.54296875" hidden="1" customWidth="1"/>
    <col min="27" max="27" width="13.7265625" hidden="1" customWidth="1"/>
    <col min="28" max="28" width="11.7265625" hidden="1" customWidth="1"/>
    <col min="29" max="29" width="7.1796875" hidden="1" customWidth="1"/>
    <col min="30" max="30" width="7.08984375" hidden="1" customWidth="1"/>
    <col min="31" max="31" width="7.453125" hidden="1" customWidth="1"/>
    <col min="32" max="32" width="13.90625" hidden="1" customWidth="1"/>
    <col min="33" max="33" width="4.36328125" hidden="1" customWidth="1"/>
    <col min="34" max="34" width="6.90625" hidden="1" customWidth="1"/>
    <col min="35" max="56" width="0" hidden="1" customWidth="1"/>
  </cols>
  <sheetData>
    <row r="1" spans="1:55" ht="40" customHeight="1" x14ac:dyDescent="0.65">
      <c r="A1" s="40" t="s">
        <v>416</v>
      </c>
      <c r="B1" s="40"/>
      <c r="C1" s="40"/>
      <c r="D1" s="40"/>
      <c r="E1" s="40"/>
      <c r="F1" s="40"/>
      <c r="G1" s="40"/>
    </row>
    <row r="2" spans="1:55" ht="25" customHeight="1" x14ac:dyDescent="0.35">
      <c r="A2" s="41" t="s">
        <v>417</v>
      </c>
      <c r="B2" s="41"/>
      <c r="C2" s="41"/>
      <c r="D2" s="41"/>
      <c r="E2" s="41"/>
      <c r="F2" s="41"/>
      <c r="G2" s="41"/>
    </row>
    <row r="3" spans="1:55" ht="15" customHeight="1" x14ac:dyDescent="0.35">
      <c r="B3" s="55" t="s">
        <v>403</v>
      </c>
      <c r="C3" s="56" t="str">
        <f>_xlfn.XLOOKUP(K5,TransactionFact[Address],TransactionFact[TransactionID],"")</f>
        <v/>
      </c>
      <c r="E3" s="55" t="s">
        <v>468</v>
      </c>
      <c r="F3" s="58">
        <f ca="1">TODAY()</f>
        <v>46080</v>
      </c>
    </row>
    <row r="4" spans="1:55" ht="28" customHeight="1" x14ac:dyDescent="0.45">
      <c r="B4" s="42" t="s">
        <v>418</v>
      </c>
      <c r="C4" s="42"/>
      <c r="D4" s="42"/>
      <c r="E4" s="42"/>
      <c r="F4" s="42"/>
      <c r="I4" t="s">
        <v>0</v>
      </c>
      <c r="J4" t="s">
        <v>329</v>
      </c>
      <c r="K4" t="s">
        <v>190</v>
      </c>
      <c r="L4" t="s">
        <v>191</v>
      </c>
      <c r="M4" t="s">
        <v>192</v>
      </c>
      <c r="N4" t="s">
        <v>193</v>
      </c>
      <c r="O4" t="s">
        <v>194</v>
      </c>
      <c r="P4" t="s">
        <v>195</v>
      </c>
      <c r="Q4" t="s">
        <v>2</v>
      </c>
      <c r="R4" t="s">
        <v>196</v>
      </c>
      <c r="S4" t="s">
        <v>197</v>
      </c>
      <c r="T4" t="s">
        <v>198</v>
      </c>
      <c r="U4" t="s">
        <v>199</v>
      </c>
      <c r="V4" t="s">
        <v>201</v>
      </c>
      <c r="W4" t="s">
        <v>203</v>
      </c>
      <c r="X4" t="s">
        <v>207</v>
      </c>
      <c r="Y4" t="s">
        <v>208</v>
      </c>
      <c r="Z4" t="s">
        <v>209</v>
      </c>
      <c r="AA4" t="s">
        <v>212</v>
      </c>
      <c r="AB4" t="s">
        <v>213</v>
      </c>
      <c r="AC4" t="s">
        <v>214</v>
      </c>
      <c r="AD4" t="s">
        <v>218</v>
      </c>
      <c r="AE4" t="s">
        <v>3</v>
      </c>
      <c r="AF4" t="s">
        <v>219</v>
      </c>
      <c r="AG4" t="s">
        <v>220</v>
      </c>
      <c r="AH4" t="s">
        <v>4</v>
      </c>
    </row>
    <row r="5" spans="1:55" x14ac:dyDescent="0.35">
      <c r="B5" s="44" t="s">
        <v>419</v>
      </c>
      <c r="C5" s="95"/>
      <c r="E5" s="44" t="s">
        <v>225</v>
      </c>
      <c r="F5" s="100"/>
      <c r="I5" t="str">
        <f>_xlfn.XLOOKUP(K5,TransactionFact[Address],TransactionFact[TransactionID],"")</f>
        <v/>
      </c>
      <c r="J5" s="54">
        <f ca="1">IF(OR(F3="",F3=0),"",F3)</f>
        <v>46080</v>
      </c>
      <c r="K5" t="str">
        <f>IF(OR(C5="",C5=0),"",C5)</f>
        <v/>
      </c>
      <c r="L5" t="str">
        <f>IF(OR(F7="",F7=0),"",F7)</f>
        <v/>
      </c>
      <c r="M5" s="63" t="str">
        <f>IF(OR(F6="",F6=0),"",F6)</f>
        <v/>
      </c>
      <c r="N5" s="54" t="str">
        <f>IF(OR(C9="",C9=0),"",C9)</f>
        <v/>
      </c>
      <c r="O5" s="54" t="str">
        <f>IF(OR(F5="",F5=0),"",F5)</f>
        <v/>
      </c>
      <c r="P5" s="63" t="str">
        <f>IF(OR(C6="",C6=0),"",C6)</f>
        <v/>
      </c>
      <c r="Q5" t="str">
        <f>IF(OR(C10="",C10=0),"",C10)</f>
        <v/>
      </c>
      <c r="R5" t="str">
        <f>IF(OR(C11="",C11=0),"",C11)</f>
        <v/>
      </c>
      <c r="S5" t="str">
        <f>IF(OR(C12="",C12=0),"",C12)</f>
        <v/>
      </c>
      <c r="T5" t="str">
        <f>IF(OR(F8="",F8=0),"",F8)</f>
        <v/>
      </c>
      <c r="U5" t="str">
        <f>IF(OR(F9="",F9=0),"",F9)</f>
        <v/>
      </c>
      <c r="V5" t="str">
        <f>IF(OR(C7="",C7=0),"",C7)</f>
        <v/>
      </c>
      <c r="W5" t="str">
        <f>IF(OR(C8="",C8=0),"",C8)</f>
        <v/>
      </c>
      <c r="X5" s="64" t="str">
        <f>IF(OR(C15="",C15=0),"",C15)</f>
        <v/>
      </c>
      <c r="Y5" s="11" t="str">
        <f>IF(OR(C16="",C16=0),"",C16)</f>
        <v/>
      </c>
      <c r="Z5" s="11" t="str">
        <f>IF(OR(C17="",C17=0),"",C17)</f>
        <v/>
      </c>
      <c r="AA5" s="64" t="str">
        <f>IF(OR(C18="",C18=0),"",C18)</f>
        <v/>
      </c>
      <c r="AB5" s="64" t="str">
        <f>IF(OR(F17="",F17=0),"",F17)</f>
        <v/>
      </c>
      <c r="AC5" t="str">
        <f>IF(OR(C20="",C20=0),"",C20)</f>
        <v/>
      </c>
      <c r="AD5" s="64" t="str">
        <f>IF(OR(F15="",F15=0),"",F15)</f>
        <v/>
      </c>
      <c r="AE5" t="str">
        <f>IF(OR(F16="",F16=0),"",F16)</f>
        <v/>
      </c>
      <c r="AF5" t="str">
        <f>IF(OR(F18="",F18=0),"",F18)</f>
        <v/>
      </c>
      <c r="AG5" t="str">
        <f>IF(OR(C19="",C19=0),"",C19)</f>
        <v/>
      </c>
      <c r="AH5" t="str">
        <f>IF(OR(F19="",F19=0),"",F19)</f>
        <v/>
      </c>
    </row>
    <row r="6" spans="1:55" x14ac:dyDescent="0.35">
      <c r="B6" s="44" t="s">
        <v>226</v>
      </c>
      <c r="C6" s="96"/>
      <c r="E6" s="44" t="s">
        <v>420</v>
      </c>
      <c r="F6" s="96"/>
    </row>
    <row r="7" spans="1:55" x14ac:dyDescent="0.35">
      <c r="B7" s="44" t="s">
        <v>423</v>
      </c>
      <c r="C7" s="97"/>
      <c r="E7" s="44" t="s">
        <v>222</v>
      </c>
      <c r="F7" s="97"/>
      <c r="I7" t="str">
        <f>I5</f>
        <v/>
      </c>
    </row>
    <row r="8" spans="1:55" x14ac:dyDescent="0.35">
      <c r="B8" s="44" t="s">
        <v>424</v>
      </c>
      <c r="C8" s="97"/>
      <c r="E8" s="44" t="s">
        <v>75</v>
      </c>
      <c r="F8" s="97"/>
    </row>
    <row r="9" spans="1:55" x14ac:dyDescent="0.35">
      <c r="B9" s="44" t="s">
        <v>421</v>
      </c>
      <c r="C9" s="98"/>
      <c r="E9" s="44" t="s">
        <v>227</v>
      </c>
      <c r="F9" s="97"/>
    </row>
    <row r="10" spans="1:55" x14ac:dyDescent="0.35">
      <c r="B10" s="44" t="s">
        <v>422</v>
      </c>
      <c r="C10" s="97"/>
      <c r="E10" s="44" t="s">
        <v>229</v>
      </c>
      <c r="F10" s="59" t="str">
        <f>_xlfn.XLOOKUP($C$7,Agent[AgentName],Agent[Office],"NOT FOUND")</f>
        <v>NOT FOUND</v>
      </c>
    </row>
    <row r="11" spans="1:55" x14ac:dyDescent="0.35">
      <c r="B11" s="44" t="s">
        <v>196</v>
      </c>
      <c r="C11" s="97"/>
      <c r="E11" s="44" t="s">
        <v>231</v>
      </c>
      <c r="F11" s="94" t="str">
        <f>_xlfn.XLOOKUP($C$8,Agent[AgentName],Agent[Office],"NOT FOUND")</f>
        <v>NOT FOUND</v>
      </c>
      <c r="I11" t="s">
        <v>0</v>
      </c>
      <c r="J11" t="s">
        <v>95</v>
      </c>
      <c r="K11" t="s">
        <v>98</v>
      </c>
      <c r="L11" t="s">
        <v>101</v>
      </c>
      <c r="M11" t="s">
        <v>103</v>
      </c>
      <c r="N11" t="s">
        <v>105</v>
      </c>
      <c r="O11" t="s">
        <v>107</v>
      </c>
      <c r="P11" t="s">
        <v>109</v>
      </c>
      <c r="Q11" t="s">
        <v>110</v>
      </c>
      <c r="R11" t="s">
        <v>112</v>
      </c>
      <c r="S11" t="s">
        <v>114</v>
      </c>
      <c r="T11" t="s">
        <v>117</v>
      </c>
      <c r="U11" t="s">
        <v>118</v>
      </c>
      <c r="V11" t="s">
        <v>120</v>
      </c>
      <c r="W11" t="s">
        <v>122</v>
      </c>
      <c r="X11" t="s">
        <v>124</v>
      </c>
      <c r="Y11" t="s">
        <v>126</v>
      </c>
      <c r="Z11" t="s">
        <v>128</v>
      </c>
      <c r="AA11" t="s">
        <v>132</v>
      </c>
      <c r="AB11" t="s">
        <v>134</v>
      </c>
      <c r="AC11" t="s">
        <v>135</v>
      </c>
      <c r="AD11" t="s">
        <v>137</v>
      </c>
      <c r="AE11" t="s">
        <v>139</v>
      </c>
      <c r="AF11" t="s">
        <v>141</v>
      </c>
      <c r="AG11" t="s">
        <v>143</v>
      </c>
      <c r="AH11" t="s">
        <v>144</v>
      </c>
      <c r="AI11" t="s">
        <v>146</v>
      </c>
      <c r="AJ11" t="s">
        <v>148</v>
      </c>
      <c r="AK11" t="s">
        <v>150</v>
      </c>
      <c r="AL11" t="s">
        <v>153</v>
      </c>
      <c r="AM11" t="s">
        <v>155</v>
      </c>
      <c r="AN11" t="s">
        <v>157</v>
      </c>
      <c r="AO11" t="s">
        <v>159</v>
      </c>
      <c r="AP11" t="s">
        <v>160</v>
      </c>
      <c r="AQ11" t="s">
        <v>161</v>
      </c>
      <c r="AR11" t="s">
        <v>163</v>
      </c>
      <c r="AS11" t="s">
        <v>166</v>
      </c>
      <c r="AT11" t="s">
        <v>168</v>
      </c>
      <c r="AU11" t="s">
        <v>170</v>
      </c>
      <c r="AV11" t="s">
        <v>172</v>
      </c>
      <c r="AW11" t="s">
        <v>174</v>
      </c>
      <c r="AX11" t="s">
        <v>177</v>
      </c>
      <c r="AY11" t="s">
        <v>179</v>
      </c>
      <c r="AZ11" t="s">
        <v>181</v>
      </c>
      <c r="BA11" t="s">
        <v>183</v>
      </c>
      <c r="BB11" t="s">
        <v>185</v>
      </c>
      <c r="BC11" t="s">
        <v>187</v>
      </c>
    </row>
    <row r="12" spans="1:55" x14ac:dyDescent="0.35">
      <c r="B12" s="44" t="s">
        <v>197</v>
      </c>
      <c r="C12" s="99"/>
      <c r="I12" t="str">
        <f>TranID</f>
        <v/>
      </c>
      <c r="J12" s="54" t="str">
        <f>IF(OR(C24="",C24=0),"",C24)</f>
        <v/>
      </c>
      <c r="K12" t="str">
        <f>IF(OR(C25="",C25=0),"",C25)</f>
        <v/>
      </c>
      <c r="L12" t="str">
        <f>IF(OR(C26="",C26=0),"",C26)</f>
        <v/>
      </c>
      <c r="M12" s="63" t="str">
        <f>IF(OR(C27="",C27=0),"",C27)</f>
        <v/>
      </c>
      <c r="N12" s="54" t="str">
        <f>IF(OR(C28="",C28=0),"",C28)</f>
        <v/>
      </c>
      <c r="O12" s="54" t="str">
        <f>IF(OR(C29="",C29=0),"",C29)</f>
        <v/>
      </c>
      <c r="P12" s="63" t="str">
        <f>IF(OR(C30="",C30=0),"",C30)</f>
        <v/>
      </c>
      <c r="Q12" t="str">
        <f>IF(OR(C31="",C31=0),"",C31)</f>
        <v/>
      </c>
      <c r="R12" t="str">
        <f>IF(OR(F24="",F24=0),"",F24)</f>
        <v/>
      </c>
      <c r="S12" t="str">
        <f>IF(OR(F25="",F25=0),"",F25)</f>
        <v/>
      </c>
      <c r="T12" t="str">
        <f>IF(OR(F26="",F26=0),"",F26)</f>
        <v/>
      </c>
      <c r="U12" t="str">
        <f>IF(OR(F27="",F27=0),"",F27)</f>
        <v/>
      </c>
      <c r="V12" t="str">
        <f>IF(OR(F28="",F28=0),"",F28)</f>
        <v/>
      </c>
      <c r="W12" t="str">
        <f>IF(OR(F29="",F29=0),"",F29)</f>
        <v/>
      </c>
      <c r="X12" s="64" t="str">
        <f>IF(OR(F30="",F30=0),"",F30)</f>
        <v/>
      </c>
      <c r="Y12" s="11" t="str">
        <f>IF(OR(F31="",F31=0),"",F31)</f>
        <v/>
      </c>
      <c r="Z12" s="11" t="str">
        <f>IF(OR(C34="",C34=0),"",C34)</f>
        <v/>
      </c>
      <c r="AA12" s="64" t="str">
        <f>IF(OR(C35="",C35=0),"",C35)</f>
        <v/>
      </c>
      <c r="AB12" s="64" t="str">
        <f>IF(OR(C36="",C36=0),"",C36)</f>
        <v/>
      </c>
      <c r="AC12" t="str">
        <f>IF(OR(C37="",C37=0),"",C37)</f>
        <v/>
      </c>
      <c r="AD12" s="64" t="str">
        <f>IF(OR(C38="",C38=0),"",C38)</f>
        <v/>
      </c>
      <c r="AE12" t="str">
        <f>IF(OR(C39="",C39=0),"",C39)</f>
        <v/>
      </c>
      <c r="AF12" t="str">
        <f>IF(OR(F34="",F34=0),"",F34)</f>
        <v/>
      </c>
      <c r="AG12" t="str">
        <f>IF(OR(F35="",F35=0),"",F35)</f>
        <v/>
      </c>
      <c r="AH12" t="str">
        <f>IF(OR(F36="",F36=0),"",F36)</f>
        <v/>
      </c>
      <c r="AI12" t="str">
        <f>IF(OR(F37="",F37=0),"",F37)</f>
        <v/>
      </c>
      <c r="AJ12" t="str">
        <f>IF(OR(F38="",F38=0),"",F38)</f>
        <v/>
      </c>
      <c r="AK12" s="54" t="str">
        <f>IF(OR(C42="",C42=0),"",C42)</f>
        <v/>
      </c>
      <c r="AL12" t="str">
        <f>IF(OR(C43="",C43=0),"",C43)</f>
        <v/>
      </c>
      <c r="AM12" s="54" t="str">
        <f>IF(OR(C44="",C44=0),"",C44)</f>
        <v/>
      </c>
      <c r="AN12" t="str">
        <f>IF(OR(C45="",C45=0),"",C45)</f>
        <v/>
      </c>
      <c r="AO12" s="54" t="str">
        <f>IF(OR(F42="",F42=0),"",F42)</f>
        <v/>
      </c>
      <c r="AP12" t="str">
        <f>IF(OR(F43="",F43=0),"",F43)</f>
        <v/>
      </c>
      <c r="AQ12" t="str">
        <f>IF(OR(F44="",F44=0),"",F44)</f>
        <v/>
      </c>
      <c r="AR12" t="str">
        <f>IF(OR(C48="",C48=0),"",C48)</f>
        <v/>
      </c>
      <c r="AS12" t="str">
        <f>IF(OR(C49="",C49=0),"",C49)</f>
        <v/>
      </c>
      <c r="AT12" t="str">
        <f>IF(OR(C50="",C50=0),"",C50)</f>
        <v/>
      </c>
      <c r="AU12" t="str">
        <f>IF(OR(F48="",F48=0),"",F48)</f>
        <v/>
      </c>
      <c r="AV12" t="str">
        <f>IF(OR(F49="",F49=0),"",F49)</f>
        <v/>
      </c>
      <c r="AW12" t="str">
        <f>IF(OR(C53="",C53=0),"",C53)</f>
        <v/>
      </c>
      <c r="AX12" t="str">
        <f>IF(OR(C54="",C54=0),"",C54)</f>
        <v/>
      </c>
      <c r="AY12" t="str">
        <f>IF(OR(C55="",C55=0),"",C55)</f>
        <v/>
      </c>
      <c r="AZ12" t="str">
        <f>IF(OR(C56="",C56=0),"",C56)</f>
        <v/>
      </c>
      <c r="BA12" t="str">
        <f>IF(OR(F53="",F53=0),"",F53)</f>
        <v/>
      </c>
      <c r="BB12" t="str">
        <f>IF(OR(F54="",F54=0),"",F54)</f>
        <v/>
      </c>
      <c r="BC12" t="str">
        <f>IF(OR(F55="",F55=0),"",F55)</f>
        <v/>
      </c>
    </row>
    <row r="13" spans="1:55" ht="21" x14ac:dyDescent="0.35">
      <c r="C13" s="229" t="str">
        <f>IF(ISERROR(_xlfn.XLOOKUP(C5,TransactionFact[Address],TransactionFact[Address])),"","DUPLICATE")</f>
        <v/>
      </c>
    </row>
    <row r="14" spans="1:55" ht="28" customHeight="1" x14ac:dyDescent="0.35">
      <c r="B14" s="46" t="s">
        <v>425</v>
      </c>
      <c r="C14" s="46"/>
      <c r="D14" s="46"/>
      <c r="E14" s="46"/>
      <c r="F14" s="46"/>
    </row>
    <row r="15" spans="1:55" x14ac:dyDescent="0.35">
      <c r="B15" s="45" t="s">
        <v>234</v>
      </c>
      <c r="C15" s="101"/>
      <c r="E15" s="44" t="s">
        <v>244</v>
      </c>
      <c r="F15" s="101"/>
    </row>
    <row r="16" spans="1:55" x14ac:dyDescent="0.35">
      <c r="B16" s="45" t="s">
        <v>235</v>
      </c>
      <c r="C16" s="102"/>
      <c r="E16" s="44" t="s">
        <v>426</v>
      </c>
      <c r="F16" s="104"/>
    </row>
    <row r="17" spans="2:6" x14ac:dyDescent="0.35">
      <c r="B17" s="45" t="s">
        <v>236</v>
      </c>
      <c r="C17" s="102"/>
      <c r="E17" s="45" t="s">
        <v>240</v>
      </c>
      <c r="F17" s="103"/>
    </row>
    <row r="18" spans="2:6" x14ac:dyDescent="0.35">
      <c r="B18" s="45" t="s">
        <v>239</v>
      </c>
      <c r="C18" s="103"/>
      <c r="E18" s="44" t="s">
        <v>427</v>
      </c>
      <c r="F18" s="104"/>
    </row>
    <row r="19" spans="2:6" x14ac:dyDescent="0.35">
      <c r="B19" s="44" t="s">
        <v>247</v>
      </c>
      <c r="C19" s="104"/>
      <c r="E19" s="44" t="s">
        <v>400</v>
      </c>
      <c r="F19" s="104"/>
    </row>
    <row r="20" spans="2:6" x14ac:dyDescent="0.35">
      <c r="B20" s="45" t="s">
        <v>401</v>
      </c>
      <c r="C20" s="104"/>
      <c r="E20" s="45" t="s">
        <v>237</v>
      </c>
      <c r="F20" s="57">
        <f>C16-C17</f>
        <v>0</v>
      </c>
    </row>
    <row r="21" spans="2:6" x14ac:dyDescent="0.35">
      <c r="B21" s="45" t="s">
        <v>241</v>
      </c>
      <c r="C21" s="62">
        <f>IF($C$20="yes",FlatFee,0)</f>
        <v>0</v>
      </c>
      <c r="E21" s="45" t="s">
        <v>238</v>
      </c>
      <c r="F21" s="61">
        <f>IF($C$16&gt;0,$C$6*$C$16,$C$15)</f>
        <v>0</v>
      </c>
    </row>
    <row r="23" spans="2:6" ht="28" customHeight="1" x14ac:dyDescent="0.35">
      <c r="B23" s="47" t="s">
        <v>428</v>
      </c>
      <c r="C23" s="47"/>
      <c r="D23" s="47"/>
      <c r="E23" s="47"/>
      <c r="F23" s="47"/>
    </row>
    <row r="24" spans="2:6" x14ac:dyDescent="0.35">
      <c r="B24" s="45" t="s">
        <v>429</v>
      </c>
      <c r="C24" s="105"/>
      <c r="E24" s="44" t="s">
        <v>436</v>
      </c>
      <c r="F24" s="105"/>
    </row>
    <row r="25" spans="2:6" x14ac:dyDescent="0.35">
      <c r="B25" s="45" t="s">
        <v>476</v>
      </c>
      <c r="C25" s="106"/>
      <c r="E25" s="44" t="s">
        <v>477</v>
      </c>
      <c r="F25" s="106"/>
    </row>
    <row r="26" spans="2:6" x14ac:dyDescent="0.35">
      <c r="B26" s="45" t="s">
        <v>430</v>
      </c>
      <c r="C26" s="106"/>
      <c r="E26" s="44" t="s">
        <v>437</v>
      </c>
      <c r="F26" s="106"/>
    </row>
    <row r="27" spans="2:6" x14ac:dyDescent="0.35">
      <c r="B27" s="45" t="s">
        <v>431</v>
      </c>
      <c r="C27" s="106"/>
      <c r="E27" s="44" t="s">
        <v>438</v>
      </c>
      <c r="F27" s="106"/>
    </row>
    <row r="28" spans="2:6" x14ac:dyDescent="0.35">
      <c r="B28" s="45" t="s">
        <v>432</v>
      </c>
      <c r="C28" s="106"/>
      <c r="E28" s="44" t="s">
        <v>439</v>
      </c>
      <c r="F28" s="106"/>
    </row>
    <row r="29" spans="2:6" x14ac:dyDescent="0.35">
      <c r="B29" s="45" t="s">
        <v>433</v>
      </c>
      <c r="C29" s="106"/>
      <c r="E29" s="44" t="s">
        <v>440</v>
      </c>
      <c r="F29" s="106"/>
    </row>
    <row r="30" spans="2:6" x14ac:dyDescent="0.35">
      <c r="B30" s="45" t="s">
        <v>434</v>
      </c>
      <c r="C30" s="106"/>
      <c r="E30" s="44" t="s">
        <v>441</v>
      </c>
      <c r="F30" s="106"/>
    </row>
    <row r="31" spans="2:6" x14ac:dyDescent="0.35">
      <c r="B31" s="45" t="s">
        <v>435</v>
      </c>
      <c r="C31" s="107"/>
      <c r="E31" s="44" t="s">
        <v>442</v>
      </c>
      <c r="F31" s="107"/>
    </row>
    <row r="32" spans="2:6" ht="15" customHeight="1" x14ac:dyDescent="0.35"/>
    <row r="33" spans="2:6" ht="28" customHeight="1" x14ac:dyDescent="0.35">
      <c r="B33" s="48" t="s">
        <v>443</v>
      </c>
      <c r="C33" s="48"/>
      <c r="D33" s="48"/>
      <c r="E33" s="48"/>
      <c r="F33" s="48"/>
    </row>
    <row r="34" spans="2:6" x14ac:dyDescent="0.35">
      <c r="B34" s="45" t="s">
        <v>481</v>
      </c>
      <c r="C34" s="108"/>
      <c r="E34" s="45" t="s">
        <v>447</v>
      </c>
      <c r="F34" s="108"/>
    </row>
    <row r="35" spans="2:6" x14ac:dyDescent="0.35">
      <c r="B35" s="45" t="s">
        <v>444</v>
      </c>
      <c r="C35" s="109"/>
      <c r="E35" s="45" t="s">
        <v>478</v>
      </c>
      <c r="F35" s="109"/>
    </row>
    <row r="36" spans="2:6" x14ac:dyDescent="0.35">
      <c r="B36" s="45" t="s">
        <v>482</v>
      </c>
      <c r="C36" s="109"/>
      <c r="E36" s="45" t="s">
        <v>448</v>
      </c>
      <c r="F36" s="109"/>
    </row>
    <row r="37" spans="2:6" x14ac:dyDescent="0.35">
      <c r="B37" s="45" t="s">
        <v>445</v>
      </c>
      <c r="C37" s="109"/>
      <c r="E37" s="45" t="s">
        <v>479</v>
      </c>
      <c r="F37" s="109"/>
    </row>
    <row r="38" spans="2:6" x14ac:dyDescent="0.35">
      <c r="B38" s="45" t="s">
        <v>446</v>
      </c>
      <c r="C38" s="109"/>
      <c r="E38" s="45" t="s">
        <v>480</v>
      </c>
      <c r="F38" s="110"/>
    </row>
    <row r="39" spans="2:6" x14ac:dyDescent="0.35">
      <c r="B39" s="45" t="s">
        <v>483</v>
      </c>
      <c r="C39" s="110"/>
    </row>
    <row r="40" spans="2:6" ht="15" customHeight="1" x14ac:dyDescent="0.35"/>
    <row r="41" spans="2:6" ht="28" customHeight="1" x14ac:dyDescent="0.35">
      <c r="B41" s="49" t="s">
        <v>449</v>
      </c>
      <c r="C41" s="49"/>
      <c r="D41" s="49"/>
      <c r="E41" s="49"/>
      <c r="F41" s="49"/>
    </row>
    <row r="42" spans="2:6" x14ac:dyDescent="0.35">
      <c r="B42" s="45" t="s">
        <v>484</v>
      </c>
      <c r="C42" s="111"/>
      <c r="E42" s="44" t="s">
        <v>451</v>
      </c>
      <c r="F42" s="111"/>
    </row>
    <row r="43" spans="2:6" x14ac:dyDescent="0.35">
      <c r="B43" s="45" t="s">
        <v>485</v>
      </c>
      <c r="C43" s="112"/>
      <c r="E43" s="44" t="s">
        <v>452</v>
      </c>
      <c r="F43" s="112"/>
    </row>
    <row r="44" spans="2:6" x14ac:dyDescent="0.35">
      <c r="B44" s="45" t="s">
        <v>486</v>
      </c>
      <c r="C44" s="113"/>
      <c r="E44" s="44" t="s">
        <v>453</v>
      </c>
      <c r="F44" s="114"/>
    </row>
    <row r="45" spans="2:6" x14ac:dyDescent="0.35">
      <c r="B45" s="45" t="s">
        <v>450</v>
      </c>
      <c r="C45" s="114"/>
    </row>
    <row r="46" spans="2:6" ht="15" customHeight="1" x14ac:dyDescent="0.35"/>
    <row r="47" spans="2:6" ht="28" customHeight="1" x14ac:dyDescent="0.35">
      <c r="B47" s="50" t="s">
        <v>454</v>
      </c>
      <c r="C47" s="50"/>
      <c r="D47" s="50"/>
      <c r="E47" s="50"/>
      <c r="F47" s="50"/>
    </row>
    <row r="48" spans="2:6" x14ac:dyDescent="0.35">
      <c r="B48" s="45" t="s">
        <v>455</v>
      </c>
      <c r="C48" s="115"/>
      <c r="E48" s="44" t="s">
        <v>458</v>
      </c>
      <c r="F48" s="115"/>
    </row>
    <row r="49" spans="2:6" x14ac:dyDescent="0.35">
      <c r="B49" s="45" t="s">
        <v>456</v>
      </c>
      <c r="C49" s="116"/>
      <c r="E49" s="44" t="s">
        <v>459</v>
      </c>
      <c r="F49" s="117"/>
    </row>
    <row r="50" spans="2:6" x14ac:dyDescent="0.35">
      <c r="B50" s="45" t="s">
        <v>457</v>
      </c>
      <c r="C50" s="117"/>
    </row>
    <row r="51" spans="2:6" ht="15" customHeight="1" x14ac:dyDescent="0.35"/>
    <row r="52" spans="2:6" ht="28" customHeight="1" x14ac:dyDescent="0.35">
      <c r="B52" s="51" t="s">
        <v>460</v>
      </c>
      <c r="C52" s="51"/>
      <c r="D52" s="51"/>
      <c r="E52" s="51"/>
      <c r="F52" s="51"/>
    </row>
    <row r="53" spans="2:6" x14ac:dyDescent="0.35">
      <c r="B53" s="45" t="s">
        <v>461</v>
      </c>
      <c r="C53" s="118"/>
      <c r="E53" s="44" t="s">
        <v>465</v>
      </c>
      <c r="F53" s="118"/>
    </row>
    <row r="54" spans="2:6" x14ac:dyDescent="0.35">
      <c r="B54" s="45" t="s">
        <v>462</v>
      </c>
      <c r="C54" s="119"/>
      <c r="E54" s="44" t="s">
        <v>466</v>
      </c>
      <c r="F54" s="119"/>
    </row>
    <row r="55" spans="2:6" x14ac:dyDescent="0.35">
      <c r="B55" s="45" t="s">
        <v>463</v>
      </c>
      <c r="C55" s="119"/>
      <c r="E55" s="44" t="s">
        <v>467</v>
      </c>
      <c r="F55" s="120"/>
    </row>
    <row r="56" spans="2:6" x14ac:dyDescent="0.35">
      <c r="B56" s="45" t="s">
        <v>464</v>
      </c>
      <c r="C56" s="120"/>
    </row>
    <row r="57" spans="2:6" ht="20" customHeight="1" x14ac:dyDescent="0.35"/>
    <row r="58" spans="2:6" ht="25" customHeight="1" x14ac:dyDescent="0.35">
      <c r="C58"/>
      <c r="F58"/>
    </row>
    <row r="59" spans="2:6" ht="20" customHeight="1" x14ac:dyDescent="0.35">
      <c r="B59" s="52"/>
      <c r="E59" s="53"/>
      <c r="F59" s="60"/>
    </row>
    <row r="60" spans="2:6" ht="20" customHeight="1" x14ac:dyDescent="0.35">
      <c r="B60" s="52"/>
      <c r="E60" s="53"/>
      <c r="F60" s="60"/>
    </row>
    <row r="61" spans="2:6" ht="20" customHeight="1" x14ac:dyDescent="0.35">
      <c r="B61" s="52"/>
      <c r="E61" s="53"/>
      <c r="F61" s="60"/>
    </row>
  </sheetData>
  <sheetProtection sheet="1" objects="1" scenarios="1" selectLockedCells="1"/>
  <protectedRanges>
    <protectedRange sqref="C5:C12 F5:F9 C15:C20 F15:F19 C24:C31 F24:F31 C34:C39 F34:F38 C42:C45 F42:F44 F48:F49 C48:C50 C53:C56 F53:F55" name="EntryFormRange"/>
  </protectedRanges>
  <mergeCells count="9">
    <mergeCell ref="B41:F41"/>
    <mergeCell ref="B47:F47"/>
    <mergeCell ref="B52:F52"/>
    <mergeCell ref="A1:G1"/>
    <mergeCell ref="A2:G2"/>
    <mergeCell ref="B4:F4"/>
    <mergeCell ref="B14:F14"/>
    <mergeCell ref="B23:F23"/>
    <mergeCell ref="B33:F3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34" r:id="rId3" name="Button 18">
              <controlPr defaultSize="0" print="0" autoFill="0" autoPict="0" macro="[0]!AddTransactionRowAndPasteNew">
                <anchor moveWithCells="1" sizeWithCells="1">
                  <from>
                    <xdr:col>7</xdr:col>
                    <xdr:colOff>190500</xdr:colOff>
                    <xdr:row>2</xdr:row>
                    <xdr:rowOff>190500</xdr:rowOff>
                  </from>
                  <to>
                    <xdr:col>57</xdr:col>
                    <xdr:colOff>247650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4" name="Button 24">
              <controlPr defaultSize="0" print="0" autoFill="0" autoPict="0" macro="[0]!ClearEntryForm">
                <anchor moveWithCells="1" sizeWithCells="1">
                  <from>
                    <xdr:col>7</xdr:col>
                    <xdr:colOff>196850</xdr:colOff>
                    <xdr:row>6</xdr:row>
                    <xdr:rowOff>19050</xdr:rowOff>
                  </from>
                  <to>
                    <xdr:col>57</xdr:col>
                    <xdr:colOff>254000</xdr:colOff>
                    <xdr:row>8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20C619-62CC-4407-98C5-7015775F1EAB}">
          <x14:formula1>
            <xm:f>'🔖 Lookups'!$D$4:$D$10</xm:f>
          </x14:formula1>
          <xm:sqref>C10</xm:sqref>
        </x14:dataValidation>
        <x14:dataValidation type="list" allowBlank="1" showInputMessage="1" showErrorMessage="1" xr:uid="{5FC39F27-C1EA-4DEE-9698-DBAB7026E39A}">
          <x14:formula1>
            <xm:f>'🔖 Lookups'!$A$30:$A$31</xm:f>
          </x14:formula1>
          <xm:sqref>F18 C19:C20</xm:sqref>
        </x14:dataValidation>
        <x14:dataValidation type="list" allowBlank="1" showInputMessage="1" showErrorMessage="1" xr:uid="{B2A7448C-DB9B-4458-94D5-D96955F2AEF6}">
          <x14:formula1>
            <xm:f>'🔖 Lookups'!$A$14:$A$19</xm:f>
          </x14:formula1>
          <xm:sqref>F16</xm:sqref>
        </x14:dataValidation>
        <x14:dataValidation type="list" allowBlank="1" showInputMessage="1" showErrorMessage="1" xr:uid="{A1884F6C-225B-48F1-AC76-E05EC2FFBE22}">
          <x14:formula1>
            <xm:f>'🔖 Lookups'!$D$14:$D$18</xm:f>
          </x14:formula1>
          <xm:sqref>F19</xm:sqref>
        </x14:dataValidation>
        <x14:dataValidation type="list" allowBlank="1" showInputMessage="1" showErrorMessage="1" xr:uid="{48051336-1950-4815-A4B8-8DE4B4474EE3}">
          <x14:formula1>
            <xm:f>'🔖 Lookups'!$A$4:$A$8</xm:f>
          </x14:formula1>
          <xm:sqref>C24:C31 F24:F31 C34:C39 F34:F38 C43 C45 F43:F44 C48:C50 F48:F49 C53:C56 F53:F55</xm:sqref>
        </x14:dataValidation>
        <x14:dataValidation type="list" allowBlank="1" showInputMessage="1" showErrorMessage="1" xr:uid="{3C2C84B1-8733-419B-8741-7D47B120EF62}">
          <x14:formula1>
            <xm:f>Agent!$B$3:$B$37</xm:f>
          </x14:formula1>
          <xm:sqref>C8 C7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9A808-D187-4A52-9BB6-05ECE197CC66}">
  <sheetPr codeName="Sheet10">
    <tabColor rgb="FFFFFF99"/>
  </sheetPr>
  <dimension ref="A1:BC80"/>
  <sheetViews>
    <sheetView zoomScale="80" zoomScaleNormal="80" workbookViewId="0">
      <pane ySplit="6" topLeftCell="A7" activePane="bottomLeft" state="frozen"/>
      <selection activeCell="D1" sqref="D1"/>
      <selection pane="bottomLeft" activeCell="C12" sqref="C12"/>
    </sheetView>
    <sheetView workbookViewId="1"/>
  </sheetViews>
  <sheetFormatPr defaultRowHeight="14.5" x14ac:dyDescent="0.35"/>
  <cols>
    <col min="1" max="1" width="2.7265625" customWidth="1"/>
    <col min="2" max="2" width="36.36328125" customWidth="1"/>
    <col min="3" max="3" width="29.453125" style="56" bestFit="1" customWidth="1"/>
    <col min="4" max="4" width="15.6328125" bestFit="1" customWidth="1"/>
    <col min="5" max="5" width="3.6328125" customWidth="1"/>
    <col min="6" max="6" width="36.36328125" style="56" customWidth="1"/>
    <col min="7" max="8" width="25.453125" customWidth="1"/>
    <col min="9" max="9" width="12.54296875" bestFit="1" customWidth="1"/>
    <col min="10" max="10" width="9.54296875" hidden="1" customWidth="1"/>
    <col min="11" max="11" width="7.7265625" hidden="1" customWidth="1"/>
    <col min="12" max="12" width="8.54296875" hidden="1" customWidth="1"/>
    <col min="13" max="13" width="8" hidden="1" customWidth="1"/>
    <col min="14" max="14" width="13.1796875" hidden="1" customWidth="1"/>
    <col min="15" max="15" width="9" hidden="1" customWidth="1"/>
    <col min="16" max="16" width="0" hidden="1" customWidth="1"/>
    <col min="17" max="17" width="9" hidden="1" customWidth="1"/>
    <col min="18" max="18" width="11.26953125" hidden="1" customWidth="1"/>
    <col min="19" max="19" width="6" hidden="1" customWidth="1"/>
    <col min="20" max="20" width="6.90625" hidden="1" customWidth="1"/>
    <col min="21" max="21" width="13.453125" hidden="1" customWidth="1"/>
    <col min="22" max="22" width="14" hidden="1" customWidth="1"/>
    <col min="23" max="23" width="14.26953125" hidden="1" customWidth="1"/>
    <col min="24" max="24" width="13.1796875" hidden="1" customWidth="1"/>
    <col min="25" max="25" width="9" hidden="1" customWidth="1"/>
    <col min="26" max="26" width="14.54296875" hidden="1" customWidth="1"/>
    <col min="27" max="27" width="13.7265625" hidden="1" customWidth="1"/>
    <col min="28" max="28" width="11.7265625" hidden="1" customWidth="1"/>
    <col min="29" max="29" width="7.1796875" hidden="1" customWidth="1"/>
    <col min="30" max="30" width="7.08984375" hidden="1" customWidth="1"/>
    <col min="31" max="31" width="7.453125" hidden="1" customWidth="1"/>
    <col min="32" max="32" width="13.90625" hidden="1" customWidth="1"/>
    <col min="33" max="33" width="4.36328125" hidden="1" customWidth="1"/>
    <col min="34" max="34" width="6.90625" hidden="1" customWidth="1"/>
    <col min="35" max="62" width="0" hidden="1" customWidth="1"/>
  </cols>
  <sheetData>
    <row r="1" spans="1:55" ht="35" customHeight="1" x14ac:dyDescent="0.55000000000000004">
      <c r="A1" s="121" t="s">
        <v>492</v>
      </c>
      <c r="B1" s="121"/>
      <c r="C1" s="121"/>
      <c r="D1" s="121"/>
      <c r="E1" s="121"/>
      <c r="F1" s="121"/>
      <c r="G1" s="121"/>
      <c r="H1" s="121"/>
    </row>
    <row r="2" spans="1:55" ht="25" customHeight="1" x14ac:dyDescent="0.35">
      <c r="A2" s="122" t="s">
        <v>493</v>
      </c>
      <c r="B2" s="122"/>
      <c r="C2" s="122"/>
      <c r="D2" s="122"/>
      <c r="E2" s="122"/>
      <c r="F2" s="122"/>
      <c r="G2" s="122"/>
      <c r="H2" s="122"/>
    </row>
    <row r="3" spans="1:55" ht="15" customHeight="1" x14ac:dyDescent="0.35">
      <c r="C3"/>
      <c r="F3"/>
    </row>
    <row r="4" spans="1:55" ht="28" customHeight="1" x14ac:dyDescent="0.45">
      <c r="A4" s="123" t="s">
        <v>494</v>
      </c>
      <c r="B4" s="123"/>
      <c r="C4" s="123"/>
      <c r="D4" s="123"/>
      <c r="E4" s="123"/>
      <c r="F4" s="123"/>
      <c r="G4" s="123"/>
      <c r="H4" s="123"/>
    </row>
    <row r="5" spans="1:55" x14ac:dyDescent="0.35">
      <c r="F5"/>
    </row>
    <row r="6" spans="1:55" ht="15" thickBot="1" x14ac:dyDescent="0.4">
      <c r="B6" s="43" t="s">
        <v>488</v>
      </c>
      <c r="C6" s="228"/>
      <c r="F6" s="43" t="s">
        <v>487</v>
      </c>
      <c r="G6" s="219" t="str">
        <f>IFERROR(_xlfn.XLOOKUP(C6,TransactionFact[Address],TransactionFact[TransactionID],""),"")</f>
        <v/>
      </c>
    </row>
    <row r="7" spans="1:55" x14ac:dyDescent="0.35">
      <c r="C7"/>
      <c r="F7"/>
    </row>
    <row r="8" spans="1:55" ht="15.5" x14ac:dyDescent="0.35">
      <c r="A8" s="129" t="s">
        <v>495</v>
      </c>
      <c r="B8" s="125"/>
      <c r="C8" s="125"/>
      <c r="D8" s="125"/>
      <c r="E8" s="125"/>
      <c r="F8" s="125"/>
      <c r="G8" s="125"/>
      <c r="H8" s="132"/>
      <c r="J8" t="s">
        <v>191</v>
      </c>
      <c r="K8" t="s">
        <v>192</v>
      </c>
      <c r="L8" t="s">
        <v>193</v>
      </c>
      <c r="M8" t="s">
        <v>194</v>
      </c>
      <c r="N8" t="s">
        <v>195</v>
      </c>
      <c r="O8" t="s">
        <v>2</v>
      </c>
      <c r="P8" t="s">
        <v>196</v>
      </c>
      <c r="Q8" t="s">
        <v>197</v>
      </c>
      <c r="R8" t="s">
        <v>198</v>
      </c>
      <c r="S8" t="s">
        <v>199</v>
      </c>
      <c r="T8" t="s">
        <v>201</v>
      </c>
      <c r="U8" t="s">
        <v>203</v>
      </c>
      <c r="V8" t="s">
        <v>207</v>
      </c>
      <c r="W8" t="s">
        <v>208</v>
      </c>
      <c r="X8" t="s">
        <v>209</v>
      </c>
      <c r="Y8" t="s">
        <v>212</v>
      </c>
      <c r="Z8" t="s">
        <v>213</v>
      </c>
      <c r="AA8" t="s">
        <v>214</v>
      </c>
      <c r="AB8" t="s">
        <v>218</v>
      </c>
      <c r="AC8" t="s">
        <v>3</v>
      </c>
      <c r="AD8" t="s">
        <v>219</v>
      </c>
      <c r="AE8" t="s">
        <v>220</v>
      </c>
      <c r="AF8" t="s">
        <v>4</v>
      </c>
    </row>
    <row r="9" spans="1:55" x14ac:dyDescent="0.35">
      <c r="A9" s="130"/>
      <c r="B9" s="178" t="s">
        <v>491</v>
      </c>
      <c r="C9" s="169" t="s">
        <v>489</v>
      </c>
      <c r="D9" s="170" t="s">
        <v>490</v>
      </c>
      <c r="E9" s="126"/>
      <c r="F9" s="127" t="s">
        <v>491</v>
      </c>
      <c r="G9" s="169" t="s">
        <v>489</v>
      </c>
      <c r="H9" s="174" t="s">
        <v>490</v>
      </c>
      <c r="J9" t="str">
        <f>IF(ISBLANK(G10),H10,G10)</f>
        <v/>
      </c>
      <c r="K9" t="str">
        <f>IF(ISBLANK(G11),H11,G11)</f>
        <v/>
      </c>
      <c r="L9" t="str">
        <f>IF(ISBLANK(C13),D13,C13)</f>
        <v/>
      </c>
      <c r="M9" t="str">
        <f>IF(ISBLANK(G12),H12,G12)</f>
        <v/>
      </c>
      <c r="N9" t="str">
        <f>IF(ISBLANK(C10),D10,C10)</f>
        <v/>
      </c>
      <c r="O9" t="str">
        <f>IF(ISBLANK(C14),D14,C14)</f>
        <v/>
      </c>
      <c r="P9" t="str">
        <f>IF(ISBLANK(C15),D15,C15)</f>
        <v/>
      </c>
      <c r="Q9" t="str">
        <f>IF(ISBLANK(C16),D16,C16)</f>
        <v/>
      </c>
      <c r="R9" t="str">
        <f>IF(ISBLANK(G13),H13,G13)</f>
        <v/>
      </c>
      <c r="S9" t="str">
        <f>IF(ISBLANK(G14),H14,G14)</f>
        <v/>
      </c>
      <c r="T9" t="str">
        <f>IF(ISBLANK(C11),D11,C11)</f>
        <v/>
      </c>
      <c r="U9" t="str">
        <f>IF(ISBLANK(C12),D12,C12)</f>
        <v/>
      </c>
      <c r="V9" t="str">
        <f>IF(ISBLANK(C21),D21,C21)</f>
        <v/>
      </c>
      <c r="W9" t="str">
        <f>IF(ISBLANK(C22),D22,C22)</f>
        <v/>
      </c>
      <c r="X9" t="str">
        <f>IF(ISBLANK(C23),D23,C23)</f>
        <v/>
      </c>
      <c r="Y9" t="str">
        <f>IF(ISBLANK(C24),D24,C24)</f>
        <v/>
      </c>
      <c r="Z9" t="str">
        <f>IF(ISBLANK(G23),H23,G23)</f>
        <v/>
      </c>
      <c r="AA9" t="str">
        <f>IF(ISBLANK(C26),D26,C26)</f>
        <v/>
      </c>
      <c r="AB9" t="str">
        <f>IF(ISBLANK(G21),H21,G21)</f>
        <v/>
      </c>
      <c r="AC9" t="str">
        <f>IF(ISBLANK(G22),H22,G22)</f>
        <v/>
      </c>
      <c r="AD9" t="str">
        <f>IF(ISBLANK(G24),H24,G24)</f>
        <v/>
      </c>
      <c r="AE9" t="str">
        <f>IF(ISBLANK(C25),D25,C25)</f>
        <v/>
      </c>
      <c r="AF9" t="str">
        <f>IF(ISBLANK(G25),H25,G25)</f>
        <v/>
      </c>
    </row>
    <row r="10" spans="1:55" x14ac:dyDescent="0.35">
      <c r="A10" s="130"/>
      <c r="B10" s="126" t="s">
        <v>226</v>
      </c>
      <c r="C10" s="220"/>
      <c r="D10" s="171" t="str">
        <f>IF(IFERROR(_xlfn.XLOOKUP($C$6,TransactionFact[Address],TransactionFact[SalePrice],""),"")=0,"",IFERROR(_xlfn.XLOOKUP($C$6,TransactionFact[Address],TransactionFact[SalePrice],""),""))</f>
        <v/>
      </c>
      <c r="E10" s="126"/>
      <c r="F10" s="126" t="s">
        <v>222</v>
      </c>
      <c r="G10" s="221"/>
      <c r="H10" s="175" t="str">
        <f>IF(IFERROR(_xlfn.XLOOKUP($C$6,TransactionFact[Address],TransactionFact[SignNum],""),"")=0,"",IFERROR(_xlfn.XLOOKUP($C$6,TransactionFact[Address],TransactionFact[SignNum],""),""))</f>
        <v/>
      </c>
    </row>
    <row r="11" spans="1:55" x14ac:dyDescent="0.35">
      <c r="A11" s="130"/>
      <c r="B11" s="126" t="s">
        <v>228</v>
      </c>
      <c r="C11" s="221"/>
      <c r="D11" s="172" t="str">
        <f>IF(OR(IFERROR(_xlfn.XLOOKUP($C$6,TransactionFact[Address],TransactionFact[ListAgentName],""),"")="",IFERROR(_xlfn.XLOOKUP($C$6,TransactionFact[Address],TransactionFact[ListAgentName],""),"")=0),"",IFERROR(_xlfn.XLOOKUP($C$6,TransactionFact[Address],TransactionFact[ListAgentName],""),""))</f>
        <v/>
      </c>
      <c r="E11" s="126"/>
      <c r="F11" s="126" t="s">
        <v>223</v>
      </c>
      <c r="G11" s="220"/>
      <c r="H11" s="176" t="str">
        <f>IF(IFERROR(_xlfn.XLOOKUP($C$6,TransactionFact[Address],TransactionFact[ListPrice],""),"")=0,"",IFERROR(_xlfn.XLOOKUP($C$6,TransactionFact[Address],TransactionFact[ListPrice],""),""))</f>
        <v/>
      </c>
      <c r="J11" t="s">
        <v>95</v>
      </c>
      <c r="K11" t="s">
        <v>98</v>
      </c>
      <c r="L11" t="s">
        <v>101</v>
      </c>
      <c r="M11" t="s">
        <v>103</v>
      </c>
      <c r="N11" t="s">
        <v>105</v>
      </c>
      <c r="O11" t="s">
        <v>107</v>
      </c>
      <c r="P11" t="s">
        <v>109</v>
      </c>
      <c r="Q11" t="s">
        <v>110</v>
      </c>
      <c r="R11" t="s">
        <v>112</v>
      </c>
      <c r="S11" t="s">
        <v>114</v>
      </c>
      <c r="T11" t="s">
        <v>117</v>
      </c>
      <c r="U11" t="s">
        <v>118</v>
      </c>
      <c r="V11" t="s">
        <v>120</v>
      </c>
      <c r="W11" t="s">
        <v>122</v>
      </c>
      <c r="X11" t="s">
        <v>124</v>
      </c>
      <c r="Y11" t="s">
        <v>126</v>
      </c>
      <c r="Z11" t="s">
        <v>128</v>
      </c>
      <c r="AA11" t="s">
        <v>132</v>
      </c>
      <c r="AB11" t="s">
        <v>134</v>
      </c>
      <c r="AC11" t="s">
        <v>135</v>
      </c>
      <c r="AD11" t="s">
        <v>137</v>
      </c>
      <c r="AE11" t="s">
        <v>139</v>
      </c>
      <c r="AF11" t="s">
        <v>141</v>
      </c>
      <c r="AG11" t="s">
        <v>143</v>
      </c>
      <c r="AH11" t="s">
        <v>144</v>
      </c>
      <c r="AI11" t="s">
        <v>146</v>
      </c>
      <c r="AJ11" t="s">
        <v>148</v>
      </c>
      <c r="AK11" t="s">
        <v>150</v>
      </c>
      <c r="AL11" t="s">
        <v>153</v>
      </c>
      <c r="AM11" t="s">
        <v>155</v>
      </c>
      <c r="AN11" t="s">
        <v>157</v>
      </c>
      <c r="AO11" t="s">
        <v>159</v>
      </c>
      <c r="AP11" t="s">
        <v>160</v>
      </c>
      <c r="AQ11" t="s">
        <v>161</v>
      </c>
      <c r="AR11" t="s">
        <v>163</v>
      </c>
      <c r="AS11" t="s">
        <v>166</v>
      </c>
      <c r="AT11" t="s">
        <v>168</v>
      </c>
      <c r="AU11" t="s">
        <v>170</v>
      </c>
      <c r="AV11" t="s">
        <v>172</v>
      </c>
      <c r="AW11" t="s">
        <v>174</v>
      </c>
      <c r="AX11" t="s">
        <v>177</v>
      </c>
      <c r="AY11" t="s">
        <v>179</v>
      </c>
      <c r="AZ11" t="s">
        <v>181</v>
      </c>
      <c r="BA11" t="s">
        <v>183</v>
      </c>
      <c r="BB11" t="s">
        <v>185</v>
      </c>
      <c r="BC11" t="s">
        <v>187</v>
      </c>
    </row>
    <row r="12" spans="1:55" x14ac:dyDescent="0.35">
      <c r="A12" s="130"/>
      <c r="B12" s="126" t="s">
        <v>230</v>
      </c>
      <c r="C12" s="221"/>
      <c r="D12" s="172" t="str">
        <f>IF(OR(IFERROR(_xlfn.XLOOKUP($C$6,TransactionFact[Address],TransactionFact[SellAgentName],""),"")="",IFERROR(_xlfn.XLOOKUP($C$6,TransactionFact[Address],TransactionFact[SellAgentName],""),"")=0),"",IFERROR(_xlfn.XLOOKUP($C$6,TransactionFact[Address],TransactionFact[SellAgentName],""),""))</f>
        <v/>
      </c>
      <c r="E12" s="126"/>
      <c r="F12" s="126" t="s">
        <v>225</v>
      </c>
      <c r="G12" s="222"/>
      <c r="H12" s="177" t="str">
        <f>IF(IFERROR(_xlfn.XLOOKUP($C$6,TransactionFact[Address],TransactionFact[ClosingDt],""),"")=0,"",IFERROR(_xlfn.XLOOKUP($C$6,TransactionFact[Address],TransactionFact[ClosingDt],""),""))</f>
        <v/>
      </c>
      <c r="J12" t="str">
        <f>IF(ISBLANK(C31),D31,C31)</f>
        <v/>
      </c>
      <c r="K12" t="str">
        <f>IF(ISBLANK(C32),D32,C32)</f>
        <v/>
      </c>
      <c r="L12" t="str">
        <f>IF(ISBLANK(C33),D33,C33)</f>
        <v/>
      </c>
      <c r="M12" t="str">
        <f>IF(ISBLANK(C34),D34,C34)</f>
        <v/>
      </c>
      <c r="N12" t="str">
        <f>IF(ISBLANK(C35),D35,C35)</f>
        <v/>
      </c>
      <c r="O12" t="str">
        <f>IF(ISBLANK(C36),D36,C36)</f>
        <v/>
      </c>
      <c r="P12" t="str">
        <f>IF(ISBLANK(C37),D37,C37)</f>
        <v/>
      </c>
      <c r="Q12" t="str">
        <f>IF(ISBLANK(C38),D38,C38)</f>
        <v/>
      </c>
      <c r="R12" t="str">
        <f>IF(ISBLANK(G31),H31,G31)</f>
        <v/>
      </c>
      <c r="S12" t="str">
        <f>IF(ISBLANK(G32),H32,G32)</f>
        <v/>
      </c>
      <c r="T12" t="str">
        <f>IF(ISBLANK(G33),H33,G33)</f>
        <v/>
      </c>
      <c r="U12" t="str">
        <f>IF(ISBLANK(G34),H34,G34)</f>
        <v/>
      </c>
      <c r="V12" t="str">
        <f>IF(ISBLANK(G35),H35,G35)</f>
        <v/>
      </c>
      <c r="W12" t="str">
        <f>IF(ISBLANK(G36),H36,G36)</f>
        <v/>
      </c>
      <c r="X12" t="str">
        <f>IF(ISBLANK(G37),H37,G37)</f>
        <v/>
      </c>
      <c r="Y12" t="str">
        <f>IF(ISBLANK(G38),H38,G38)</f>
        <v/>
      </c>
      <c r="Z12" t="str">
        <f>IF(ISBLANK(C42),D42,C42)</f>
        <v/>
      </c>
      <c r="AA12" t="str">
        <f>IF(ISBLANK(C43),D43,C43)</f>
        <v/>
      </c>
      <c r="AB12" t="str">
        <f>IF(ISBLANK(C44),D44,C44)</f>
        <v/>
      </c>
      <c r="AC12" t="str">
        <f>IF(ISBLANK(C45),D45,C45)</f>
        <v/>
      </c>
      <c r="AD12" t="str">
        <f>IF(ISBLANK(C46),D46,C46)</f>
        <v/>
      </c>
      <c r="AE12" t="str">
        <f>IF(ISBLANK(C47),D47,C47)</f>
        <v/>
      </c>
      <c r="AF12" t="str">
        <f>IF(ISBLANK(G42),H42,G42)</f>
        <v/>
      </c>
      <c r="AG12" t="str">
        <f>IF(ISBLANK(G43),H43,G43)</f>
        <v/>
      </c>
      <c r="AH12" t="str">
        <f>IF(ISBLANK(G44),H44,G44)</f>
        <v/>
      </c>
      <c r="AI12" t="str">
        <f>IF(ISBLANK(G45),H45,G45)</f>
        <v/>
      </c>
      <c r="AJ12" t="str">
        <f>IF(ISBLANK(G46),H46,G46)</f>
        <v/>
      </c>
      <c r="AK12" t="str">
        <f>IF(ISBLANK(C51),D51,C51)</f>
        <v/>
      </c>
      <c r="AL12" t="str">
        <f>IF(ISBLANK(C52),D52,C52)</f>
        <v/>
      </c>
      <c r="AM12" t="str">
        <f>IF(ISBLANK(C53),D53,C53)</f>
        <v/>
      </c>
      <c r="AN12" t="str">
        <f>IF(ISBLANK(C54),D54,C54)</f>
        <v/>
      </c>
      <c r="AO12" t="str">
        <f>IF(ISBLANK(G51),H51,G51)</f>
        <v/>
      </c>
      <c r="AP12" t="str">
        <f>IF(ISBLANK(G52),H52,G52)</f>
        <v/>
      </c>
      <c r="AQ12" t="str">
        <f>IF(ISBLANK(G53),H53,G53)</f>
        <v/>
      </c>
      <c r="AR12" t="str">
        <f>IF(ISBLANK(C58),D58,C58)</f>
        <v/>
      </c>
      <c r="AS12" t="str">
        <f>IF(ISBLANK(C59),D59,C59)</f>
        <v/>
      </c>
      <c r="AT12" t="str">
        <f>IF(ISBLANK(C60),D60,C60)</f>
        <v/>
      </c>
      <c r="AU12" t="str">
        <f>IF(ISBLANK(G58),H58,G58)</f>
        <v/>
      </c>
      <c r="AV12" t="str">
        <f>IF(ISBLANK(G59),H59,G59)</f>
        <v/>
      </c>
      <c r="AW12" t="str">
        <f>IF(ISBLANK(C64),D64,C64)</f>
        <v/>
      </c>
      <c r="AX12" t="str">
        <f>IF(ISBLANK(C65),D65,C65)</f>
        <v/>
      </c>
      <c r="AY12" t="str">
        <f>IF(ISBLANK(C66),D66,C66)</f>
        <v/>
      </c>
      <c r="AZ12" t="str">
        <f>IF(ISBLANK(C67),D67,C67)</f>
        <v/>
      </c>
      <c r="BA12" t="str">
        <f>IF(ISBLANK(G64),H64,G64)</f>
        <v/>
      </c>
      <c r="BB12" t="str">
        <f>IF(ISBLANK(G65),H65,G65)</f>
        <v/>
      </c>
      <c r="BC12" t="str">
        <f>IF(ISBLANK(G66),H66,G66)</f>
        <v/>
      </c>
    </row>
    <row r="13" spans="1:55" x14ac:dyDescent="0.35">
      <c r="A13" s="130"/>
      <c r="B13" s="126" t="s">
        <v>224</v>
      </c>
      <c r="C13" s="222"/>
      <c r="D13" s="173" t="str">
        <f>IF(IFERROR(_xlfn.XLOOKUP($C$6,TransactionFact[Address],TransactionFact[OfferAcceptDt],""),"")=0,"",IFERROR(_xlfn.XLOOKUP($C$6,TransactionFact[Address],TransactionFact[OfferAcceptDt],""),""))</f>
        <v/>
      </c>
      <c r="E13" s="126"/>
      <c r="F13" s="126" t="s">
        <v>75</v>
      </c>
      <c r="G13" s="221"/>
      <c r="H13" s="175" t="str">
        <f>IF(IFERROR(_xlfn.XLOOKUP($C$6,TransactionFact[Address],TransactionFact[TitleCo],""),"")=0,"",IFERROR(_xlfn.XLOOKUP($C$6,TransactionFact[Address],TransactionFact[TitleCo],""),""))</f>
        <v/>
      </c>
    </row>
    <row r="14" spans="1:55" x14ac:dyDescent="0.35">
      <c r="A14" s="130"/>
      <c r="B14" s="126" t="s">
        <v>402</v>
      </c>
      <c r="C14" s="221"/>
      <c r="D14" s="172" t="str">
        <f>IF(OR(IFERROR(_xlfn.XLOOKUP($C$6,TransactionFact[Address],TransactionFact[LoanType],""),"")="",IFERROR(_xlfn.XLOOKUP($C$6,TransactionFact[Address],TransactionFact[LoanType],""),"")=0),"",IFERROR(_xlfn.XLOOKUP($C$6,TransactionFact[Address],TransactionFact[LoanType],""),""))</f>
        <v/>
      </c>
      <c r="E14" s="126"/>
      <c r="F14" s="126" t="s">
        <v>227</v>
      </c>
      <c r="G14" s="221"/>
      <c r="H14" s="175" t="str">
        <f>IF(IFERROR(_xlfn.XLOOKUP($C$6,TransactionFact[Address],TransactionFact[TitleCoContact],""),"")=0,"",IFERROR(_xlfn.XLOOKUP($C$6,TransactionFact[Address],TransactionFact[TitleCoContact],""),""))</f>
        <v/>
      </c>
    </row>
    <row r="15" spans="1:55" x14ac:dyDescent="0.35">
      <c r="A15" s="130"/>
      <c r="B15" s="126" t="s">
        <v>196</v>
      </c>
      <c r="C15" s="221"/>
      <c r="D15" s="172" t="str">
        <f>IF(IFERROR(_xlfn.XLOOKUP($C$6,TransactionFact[Address],TransactionFact[Concessions],""),"")=0,"",IFERROR(_xlfn.XLOOKUP($C$6,TransactionFact[Address],TransactionFact[Concessions],""),""))</f>
        <v/>
      </c>
      <c r="E15" s="126"/>
      <c r="F15" s="126" t="s">
        <v>229</v>
      </c>
      <c r="G15" s="218" t="str">
        <f>_xlfn.XLOOKUP($C$11,Agent[AgentName],Agent[Office],"")</f>
        <v/>
      </c>
      <c r="H15" s="211" t="str">
        <f>IF(OR(IFERROR(_xlfn.XLOOKUP($C$6,TransactionCalc[Address],TransactionCalc[ListAgentOffice],""),"")="",IFERROR(_xlfn.XLOOKUP($C$6,TransactionCalc[Address],TransactionCalc[ListAgentOffice],""),"")=0),"",IFERROR(_xlfn.XLOOKUP($C$6,TransactionCalc[Address],TransactionCalc[ListAgentOffice],""),""))</f>
        <v/>
      </c>
    </row>
    <row r="16" spans="1:55" x14ac:dyDescent="0.35">
      <c r="A16" s="130"/>
      <c r="B16" s="126" t="s">
        <v>197</v>
      </c>
      <c r="C16" s="221"/>
      <c r="D16" s="172" t="str">
        <f>IF(IFERROR(_xlfn.XLOOKUP($C$6,TransactionFact[Address],TransactionFact[Notes],""),"")=0,"",IFERROR(_xlfn.XLOOKUP($C$6,TransactionFact[Address],TransactionFact[Notes],""),""))</f>
        <v/>
      </c>
      <c r="E16" s="126"/>
      <c r="F16" s="126" t="s">
        <v>231</v>
      </c>
      <c r="G16" s="218" t="str">
        <f>_xlfn.XLOOKUP($C$12,Agent[AgentName],Agent[Office],"")</f>
        <v/>
      </c>
      <c r="H16" s="211" t="str">
        <f>IF(OR(IFERROR(_xlfn.XLOOKUP($C$6,TransactionCalc[Address],TransactionCalc[SellAgentOffice],""),"")="",IFERROR(_xlfn.XLOOKUP($C$6,TransactionCalc[Address],TransactionCalc[SellAgentOffice],""),"")=0),"",IFERROR(_xlfn.XLOOKUP($C$6,TransactionCalc[Address],TransactionCalc[SellAgentOffice],""),""))</f>
        <v/>
      </c>
    </row>
    <row r="17" spans="1:8" x14ac:dyDescent="0.35">
      <c r="A17" s="131"/>
      <c r="B17" s="128"/>
      <c r="C17" s="128"/>
      <c r="D17" s="128"/>
      <c r="E17" s="128"/>
      <c r="F17" s="128"/>
      <c r="G17" s="128"/>
      <c r="H17" s="133"/>
    </row>
    <row r="18" spans="1:8" x14ac:dyDescent="0.35">
      <c r="C18"/>
      <c r="F18"/>
    </row>
    <row r="19" spans="1:8" ht="15.5" x14ac:dyDescent="0.35">
      <c r="A19" s="136" t="s">
        <v>496</v>
      </c>
      <c r="B19" s="134"/>
      <c r="C19" s="134"/>
      <c r="D19" s="134"/>
      <c r="E19" s="134"/>
      <c r="F19" s="134"/>
      <c r="G19" s="134"/>
      <c r="H19" s="137"/>
    </row>
    <row r="20" spans="1:8" x14ac:dyDescent="0.35">
      <c r="A20" s="130"/>
      <c r="B20" s="135" t="s">
        <v>491</v>
      </c>
      <c r="C20" s="179" t="s">
        <v>489</v>
      </c>
      <c r="D20" s="180" t="s">
        <v>490</v>
      </c>
      <c r="E20" s="126"/>
      <c r="F20" s="135" t="s">
        <v>491</v>
      </c>
      <c r="G20" s="179" t="s">
        <v>489</v>
      </c>
      <c r="H20" s="182" t="s">
        <v>490</v>
      </c>
    </row>
    <row r="21" spans="1:8" x14ac:dyDescent="0.35">
      <c r="A21" s="130"/>
      <c r="B21" s="126" t="s">
        <v>234</v>
      </c>
      <c r="C21" s="223"/>
      <c r="D21" s="165" t="str">
        <f>IF(IFERROR(_xlfn.XLOOKUP($C$6,TransactionFact[Address],TransactionFact[CommFlatAmt],""),"")=0,"",IFERROR(_xlfn.XLOOKUP($C$6,TransactionFact[Address],TransactionFact[CommFlatAmt],""),""))</f>
        <v/>
      </c>
      <c r="E21" s="126"/>
      <c r="F21" s="126" t="s">
        <v>244</v>
      </c>
      <c r="G21" s="223"/>
      <c r="H21" s="168" t="str">
        <f>IF(IFERROR(_xlfn.XLOOKUP($C$6,TransactionFact[Address],TransactionFact[EMAmt],""),"")=0,"",IFERROR(_xlfn.XLOOKUP($C$6,TransactionFact[Address],TransactionFact[EMAmt],""),""))</f>
        <v/>
      </c>
    </row>
    <row r="22" spans="1:8" x14ac:dyDescent="0.35">
      <c r="A22" s="130"/>
      <c r="B22" s="126" t="s">
        <v>235</v>
      </c>
      <c r="C22" s="225"/>
      <c r="D22" s="181" t="str">
        <f>IF(IFERROR(_xlfn.XLOOKUP($C$6,TransactionFact[Address],TransactionFact[CommPct],""),"")=0,"",IFERROR(_xlfn.XLOOKUP($C$6,TransactionFact[Address],TransactionFact[CommPct],""),""))</f>
        <v/>
      </c>
      <c r="E22" s="126"/>
      <c r="F22" s="126" t="s">
        <v>245</v>
      </c>
      <c r="G22" s="224"/>
      <c r="H22" s="167" t="str">
        <f>IF(IFERROR(_xlfn.XLOOKUP($C$6,TransactionFact[Address],TransactionFact[EMHold],""),"")=0,"",IFERROR(_xlfn.XLOOKUP($C$6,TransactionFact[Address],TransactionFact[EMHold],""),""))</f>
        <v/>
      </c>
    </row>
    <row r="23" spans="1:8" x14ac:dyDescent="0.35">
      <c r="A23" s="130"/>
      <c r="B23" s="126" t="s">
        <v>236</v>
      </c>
      <c r="C23" s="225"/>
      <c r="D23" s="181" t="str">
        <f>IF(IFERROR(_xlfn.XLOOKUP($C$6,TransactionFact[Address],TransactionFact[ListingCommPct],""),"")=0,"",IFERROR(_xlfn.XLOOKUP($C$6,TransactionFact[Address],TransactionFact[ListingCommPct],""),""))</f>
        <v/>
      </c>
      <c r="E23" s="126"/>
      <c r="F23" s="126" t="s">
        <v>240</v>
      </c>
      <c r="G23" s="223"/>
      <c r="H23" s="168" t="str">
        <f>IF(IFERROR(_xlfn.XLOOKUP($C$6,TransactionFact[Address],TransactionFact[SaleSideAmt],""),"")=0,"",IFERROR(_xlfn.XLOOKUP($C$6,TransactionFact[Address],TransactionFact[SaleSideAmt],""),""))</f>
        <v/>
      </c>
    </row>
    <row r="24" spans="1:8" x14ac:dyDescent="0.35">
      <c r="A24" s="130"/>
      <c r="B24" s="126" t="s">
        <v>239</v>
      </c>
      <c r="C24" s="223"/>
      <c r="D24" s="165" t="str">
        <f>IF(IFERROR(_xlfn.XLOOKUP($C$6,TransactionFact[Address],TransactionFact[ListingSideAmt],""),"")=0,"",IFERROR(_xlfn.XLOOKUP($C$6,TransactionFact[Address],TransactionFact[ListingSideAmt],""),""))</f>
        <v/>
      </c>
      <c r="E24" s="126"/>
      <c r="F24" s="126" t="s">
        <v>246</v>
      </c>
      <c r="G24" s="224"/>
      <c r="H24" s="167" t="str">
        <f>IF(OR(IFERROR(_xlfn.XLOOKUP($C$6,TransactionFact[Address],TransactionFact[HomeWarranty],""),"")="",IFERROR(_xlfn.XLOOKUP($C$6,TransactionFact[Address],TransactionFact[HomeWarranty],""),"")=0),"",IFERROR(_xlfn.XLOOKUP($C$6,TransactionFact[Address],TransactionFact[HomeWarranty],""),""))</f>
        <v/>
      </c>
    </row>
    <row r="25" spans="1:8" x14ac:dyDescent="0.35">
      <c r="A25" s="130"/>
      <c r="B25" s="126" t="s">
        <v>247</v>
      </c>
      <c r="C25" s="224"/>
      <c r="D25" s="166" t="str">
        <f>IF(OR(IFERROR(_xlfn.XLOOKUP($C$6,TransactionFact[Address],TransactionFact[HSA],""),"")="",IFERROR(_xlfn.XLOOKUP($C$6,TransactionFact[Address],TransactionFact[HSA],""),"")=0),"",IFERROR(_xlfn.XLOOKUP($C$6,TransactionFact[Address],TransactionFact[HSA],""),""))</f>
        <v/>
      </c>
      <c r="E25" s="126"/>
      <c r="F25" s="126" t="s">
        <v>400</v>
      </c>
      <c r="G25" s="224"/>
      <c r="H25" s="167" t="str">
        <f>IF(OR(IFERROR(_xlfn.XLOOKUP($C$6,TransactionFact[Address],TransactionFact[HWPay],""),"")="",IFERROR(_xlfn.XLOOKUP($C$6,TransactionFact[Address],TransactionFact[HWPay],""),"")=0),"",IFERROR(_xlfn.XLOOKUP($C$6,TransactionFact[Address],TransactionFact[HWPay],""),""))</f>
        <v/>
      </c>
    </row>
    <row r="26" spans="1:8" x14ac:dyDescent="0.35">
      <c r="A26" s="130"/>
      <c r="B26" s="126" t="s">
        <v>401</v>
      </c>
      <c r="C26" s="224"/>
      <c r="D26" s="166" t="str">
        <f>IF(OR(IFERROR(_xlfn.XLOOKUP($C$6,TransactionFact[Address],TransactionFact[FlatFee],""),"")="",IFERROR(_xlfn.XLOOKUP($C$6,TransactionFact[Address],TransactionFact[FlatFee],""),"")=0),"",IFERROR(_xlfn.XLOOKUP($C$6,TransactionFact[Address],TransactionFact[FlatFee],""),""))</f>
        <v/>
      </c>
      <c r="E26" s="126"/>
      <c r="F26" s="212" t="s">
        <v>533</v>
      </c>
      <c r="G26" s="216">
        <f>C22-C23</f>
        <v>0</v>
      </c>
      <c r="H26" s="215" t="str">
        <f>IFERROR(_xlfn.XLOOKUP($C$6,TransactionCalc[Address],TransactionCalc[SaleCommPct]),"")</f>
        <v/>
      </c>
    </row>
    <row r="27" spans="1:8" x14ac:dyDescent="0.35">
      <c r="A27" s="131"/>
      <c r="B27" s="128" t="s">
        <v>241</v>
      </c>
      <c r="C27" s="217">
        <f>IF(C26="Yes",FlatFee,0)</f>
        <v>0</v>
      </c>
      <c r="D27" s="213" t="str">
        <f>IFERROR(_xlfn.XLOOKUP(C6,TransactionCalc[Address],TransactionCalc[FlatFeeAmt]),"")</f>
        <v/>
      </c>
      <c r="E27" s="128"/>
      <c r="F27" s="128" t="s">
        <v>238</v>
      </c>
      <c r="G27" s="217">
        <f>IF($C$22&gt;0,$C$10*$C$22,$C$21)</f>
        <v>0</v>
      </c>
      <c r="H27" s="214" t="str">
        <f>IFERROR(_xlfn.XLOOKUP($C$6,TransactionCalc[Address],TransactionCalc[TotalComm]),"")</f>
        <v/>
      </c>
    </row>
    <row r="28" spans="1:8" x14ac:dyDescent="0.35">
      <c r="C28"/>
      <c r="F28"/>
    </row>
    <row r="29" spans="1:8" ht="15.5" x14ac:dyDescent="0.35">
      <c r="A29" s="140" t="s">
        <v>497</v>
      </c>
      <c r="B29" s="138"/>
      <c r="C29" s="138"/>
      <c r="D29" s="138"/>
      <c r="E29" s="138"/>
      <c r="F29" s="138"/>
      <c r="G29" s="138"/>
      <c r="H29" s="141"/>
    </row>
    <row r="30" spans="1:8" x14ac:dyDescent="0.35">
      <c r="A30" s="130"/>
      <c r="B30" s="139" t="s">
        <v>259</v>
      </c>
      <c r="C30" s="183" t="s">
        <v>489</v>
      </c>
      <c r="D30" s="184" t="s">
        <v>490</v>
      </c>
      <c r="E30" s="126"/>
      <c r="F30" s="139" t="s">
        <v>259</v>
      </c>
      <c r="G30" s="183" t="s">
        <v>489</v>
      </c>
      <c r="H30" s="187" t="s">
        <v>490</v>
      </c>
    </row>
    <row r="31" spans="1:8" x14ac:dyDescent="0.35">
      <c r="A31" s="130"/>
      <c r="B31" s="126" t="s">
        <v>429</v>
      </c>
      <c r="C31" s="224"/>
      <c r="D31" s="185" t="str">
        <f>IF(OR(IFERROR(_xlfn.XLOOKUP(_xlfn.XLOOKUP($C$6,TransactionFact[Address],TransactionFact[TransactionID],""),ChecklistTable[TransactionID],ChecklistTable[MLSPrintout],""),"")="",IFERROR(_xlfn.XLOOKUP(_xlfn.XLOOKUP($C$6,TransactionFact[Address],TransactionFact[TransactionID],""),ChecklistTable[TransactionID],ChecklistTable[MLSPrintout],""),"")=0),"",IFERROR(_xlfn.XLOOKUP(_xlfn.XLOOKUP($C$6,TransactionFact[Address],TransactionFact[TransactionID],""),ChecklistTable[TransactionID],ChecklistTable[MLSPrintout],""),""))</f>
        <v/>
      </c>
      <c r="E31" s="126"/>
      <c r="F31" s="126" t="s">
        <v>436</v>
      </c>
      <c r="G31" s="224"/>
      <c r="H31" s="188" t="str">
        <f>IF(OR(IFERROR(_xlfn.XLOOKUP(_xlfn.XLOOKUP($C$6,TransactionFact[Address],TransactionFact[TransactionID],""),ChecklistTable[TransactionID],ChecklistTable[PropertyDisclosure],""),"")="",IFERROR(_xlfn.XLOOKUP(_xlfn.XLOOKUP($C$6,TransactionFact[Address],TransactionFact[TransactionID],""),ChecklistTable[TransactionID],ChecklistTable[PropertyDisclosure],""),"")=0),"",IFERROR(_xlfn.XLOOKUP(_xlfn.XLOOKUP($C$6,TransactionFact[Address],TransactionFact[TransactionID],""),ChecklistTable[TransactionID],ChecklistTable[PropertyDisclosure],""),""))</f>
        <v/>
      </c>
    </row>
    <row r="32" spans="1:8" x14ac:dyDescent="0.35">
      <c r="A32" s="130"/>
      <c r="B32" s="126" t="s">
        <v>531</v>
      </c>
      <c r="C32" s="224"/>
      <c r="D32" s="185" t="str">
        <f>IF(OR(IFERROR(_xlfn.XLOOKUP(_xlfn.XLOOKUP($C$6,TransactionFact[Address],TransactionFact[TransactionID],""),ChecklistTable[TransactionID],ChecklistTable[FHAVAAddendum],""),"")="",IFERROR(_xlfn.XLOOKUP(_xlfn.XLOOKUP($C$6,TransactionFact[Address],TransactionFact[TransactionID],""),ChecklistTable[TransactionID],ChecklistTable[FHAVAAddendum],""),"")=0),"",IFERROR(_xlfn.XLOOKUP(_xlfn.XLOOKUP($C$6,TransactionFact[Address],TransactionFact[TransactionID],""),ChecklistTable[TransactionID],ChecklistTable[FHAVAAddendum],""),""))</f>
        <v/>
      </c>
      <c r="E32" s="126"/>
      <c r="F32" s="126" t="s">
        <v>532</v>
      </c>
      <c r="G32" s="224"/>
      <c r="H32" s="188" t="str">
        <f>IF(OR(IFERROR(_xlfn.XLOOKUP(_xlfn.XLOOKUP($C$6,TransactionFact[Address],TransactionFact[TransactionID],""),ChecklistTable[TransactionID],ChecklistTable[HWAppReceived],""),"")="",IFERROR(_xlfn.XLOOKUP(_xlfn.XLOOKUP($C$6,TransactionFact[Address],TransactionFact[TransactionID],""),ChecklistTable[TransactionID],ChecklistTable[HWAppReceived],""),"")=0),"",IFERROR(_xlfn.XLOOKUP(_xlfn.XLOOKUP($C$6,TransactionFact[Address],TransactionFact[TransactionID],""),ChecklistTable[TransactionID],ChecklistTable[HWAppReceived],""),""))</f>
        <v/>
      </c>
    </row>
    <row r="33" spans="1:8" ht="15" customHeight="1" x14ac:dyDescent="0.35">
      <c r="A33" s="130"/>
      <c r="B33" s="126" t="s">
        <v>430</v>
      </c>
      <c r="C33" s="224"/>
      <c r="D33" s="185" t="str">
        <f>IF(OR(IFERROR(_xlfn.XLOOKUP(_xlfn.XLOOKUP($C$6,TransactionFact[Address],TransactionFact[TransactionID],""),ChecklistTable[TransactionID],ChecklistTable[AgencyDisclosure],""),"")="",IFERROR(_xlfn.XLOOKUP(_xlfn.XLOOKUP($C$6,TransactionFact[Address],TransactionFact[TransactionID],""),ChecklistTable[TransactionID],ChecklistTable[AgencyDisclosure],""),"")=0),"",IFERROR(_xlfn.XLOOKUP(_xlfn.XLOOKUP($C$6,TransactionFact[Address],TransactionFact[TransactionID],""),ChecklistTable[TransactionID],ChecklistTable[AgencyDisclosure],""),""))</f>
        <v/>
      </c>
      <c r="E33" s="126"/>
      <c r="F33" s="126" t="s">
        <v>437</v>
      </c>
      <c r="G33" s="224"/>
      <c r="H33" s="188" t="str">
        <f>IF(OR(IFERROR(_xlfn.XLOOKUP(_xlfn.XLOOKUP($C$6,TransactionFact[Address],TransactionFact[TransactionID],""),ChecklistTable[TransactionID],ChecklistTable[EBRA],""),"")="",IFERROR(_xlfn.XLOOKUP(_xlfn.XLOOKUP($C$6,TransactionFact[Address],TransactionFact[TransactionID],""),ChecklistTable[TransactionID],ChecklistTable[EBRA],""),"")=0),"",IFERROR(_xlfn.XLOOKUP(_xlfn.XLOOKUP($C$6,TransactionFact[Address],TransactionFact[TransactionID],""),ChecklistTable[TransactionID],ChecklistTable[EBRA],""),""))</f>
        <v/>
      </c>
    </row>
    <row r="34" spans="1:8" x14ac:dyDescent="0.35">
      <c r="A34" s="130"/>
      <c r="B34" s="126" t="s">
        <v>431</v>
      </c>
      <c r="C34" s="224"/>
      <c r="D34" s="185" t="str">
        <f>IF(OR(IFERROR(_xlfn.XLOOKUP(_xlfn.XLOOKUP($C$6,TransactionFact[Address],TransactionFact[TransactionID],""),ChecklistTable[TransactionID],ChecklistTable[CondoAddendum],""),"")="",IFERROR(_xlfn.XLOOKUP(_xlfn.XLOOKUP($C$6,TransactionFact[Address],TransactionFact[TransactionID],""),ChecklistTable[TransactionID],ChecklistTable[CondoAddendum],""),"")=0),"",IFERROR(_xlfn.XLOOKUP(_xlfn.XLOOKUP($C$6,TransactionFact[Address],TransactionFact[TransactionID],""),ChecklistTable[TransactionID],ChecklistTable[CondoAddendum],""),""))</f>
        <v/>
      </c>
      <c r="E34" s="126"/>
      <c r="F34" s="126" t="s">
        <v>498</v>
      </c>
      <c r="G34" s="224"/>
      <c r="H34" s="188" t="str">
        <f>IF(OR(IFERROR(_xlfn.XLOOKUP(_xlfn.XLOOKUP($C$6,TransactionFact[Address],TransactionFact[TransactionID],""),ChecklistTable[TransactionID],ChecklistTable[LBPDisclosure],""),"")="",IFERROR(_xlfn.XLOOKUP(_xlfn.XLOOKUP($C$6,TransactionFact[Address],TransactionFact[TransactionID],""),ChecklistTable[TransactionID],ChecklistTable[LBPDisclosure],""),"")=0),"",IFERROR(_xlfn.XLOOKUP(_xlfn.XLOOKUP($C$6,TransactionFact[Address],TransactionFact[TransactionID],""),ChecklistTable[TransactionID],ChecklistTable[LBPDisclosure],""),""))</f>
        <v/>
      </c>
    </row>
    <row r="35" spans="1:8" x14ac:dyDescent="0.35">
      <c r="A35" s="130"/>
      <c r="B35" s="126" t="s">
        <v>432</v>
      </c>
      <c r="C35" s="224"/>
      <c r="D35" s="185" t="str">
        <f>IF(OR(IFERROR(_xlfn.XLOOKUP(_xlfn.XLOOKUP($C$6,TransactionFact[Address],TransactionFact[TransactionID],""),ChecklistTable[TransactionID],ChecklistTable[ConsumerGuide],""),"")="",IFERROR(_xlfn.XLOOKUP(_xlfn.XLOOKUP($C$6,TransactionFact[Address],TransactionFact[TransactionID],""),ChecklistTable[TransactionID],ChecklistTable[ConsumerGuide],""),"")=0),"",IFERROR(_xlfn.XLOOKUP(_xlfn.XLOOKUP($C$6,TransactionFact[Address],TransactionFact[TransactionID],""),ChecklistTable[TransactionID],ChecklistTable[ConsumerGuide],""),""))</f>
        <v/>
      </c>
      <c r="E35" s="126"/>
      <c r="F35" s="126" t="s">
        <v>439</v>
      </c>
      <c r="G35" s="224"/>
      <c r="H35" s="188" t="str">
        <f>IF(OR(IFERROR(_xlfn.XLOOKUP(_xlfn.XLOOKUP($C$6,TransactionFact[Address],TransactionFact[TransactionID],""),ChecklistTable[TransactionID],ChecklistTable[OtherDocs],""),"")="",IFERROR(_xlfn.XLOOKUP(_xlfn.XLOOKUP($C$6,TransactionFact[Address],TransactionFact[TransactionID],""),ChecklistTable[TransactionID],ChecklistTable[OtherDocs],""),"")=0),"",IFERROR(_xlfn.XLOOKUP(_xlfn.XLOOKUP($C$6,TransactionFact[Address],TransactionFact[TransactionID],""),ChecklistTable[TransactionID],ChecklistTable[OtherDocs],""),""))</f>
        <v/>
      </c>
    </row>
    <row r="36" spans="1:8" x14ac:dyDescent="0.35">
      <c r="A36" s="130"/>
      <c r="B36" s="126" t="s">
        <v>433</v>
      </c>
      <c r="C36" s="224"/>
      <c r="D36" s="185" t="str">
        <f>IF(OR(IFERROR(_xlfn.XLOOKUP(_xlfn.XLOOKUP($C$6,TransactionFact[Address],TransactionFact[TransactionID],""),ChecklistTable[TransactionID],ChecklistTable[PurchaseAgreement],""),"")="",IFERROR(_xlfn.XLOOKUP(_xlfn.XLOOKUP($C$6,TransactionFact[Address],TransactionFact[TransactionID],""),ChecklistTable[TransactionID],ChecklistTable[PurchaseAgreement],""),"")=0),"",IFERROR(_xlfn.XLOOKUP(_xlfn.XLOOKUP($C$6,TransactionFact[Address],TransactionFact[TransactionID],""),ChecklistTable[TransactionID],ChecklistTable[PurchaseAgreement],""),""))</f>
        <v/>
      </c>
      <c r="E36" s="126"/>
      <c r="F36" s="126" t="s">
        <v>440</v>
      </c>
      <c r="G36" s="224"/>
      <c r="H36" s="188" t="str">
        <f>IF(OR(IFERROR(_xlfn.XLOOKUP(_xlfn.XLOOKUP($C$6,TransactionFact[Address],TransactionFact[TransactionID],""),ChecklistTable[TransactionID],ChecklistTable[HomeInspDisclosure],""),"")="",IFERROR(_xlfn.XLOOKUP(_xlfn.XLOOKUP($C$6,TransactionFact[Address],TransactionFact[TransactionID],""),ChecklistTable[TransactionID],ChecklistTable[HomeInspDisclosure],""),"")=0),"",IFERROR(_xlfn.XLOOKUP(_xlfn.XLOOKUP($C$6,TransactionFact[Address],TransactionFact[TransactionID],""),ChecklistTable[TransactionID],ChecklistTable[HomeInspDisclosure],""),""))</f>
        <v/>
      </c>
    </row>
    <row r="37" spans="1:8" x14ac:dyDescent="0.35">
      <c r="A37" s="130"/>
      <c r="B37" s="126" t="s">
        <v>434</v>
      </c>
      <c r="C37" s="224"/>
      <c r="D37" s="185" t="str">
        <f>IF(OR(IFERROR(_xlfn.XLOOKUP(_xlfn.XLOOKUP($C$6,TransactionFact[Address],TransactionFact[TransactionID],""),ChecklistTable[TransactionID],ChecklistTable[ABA],""),"")="",IFERROR(_xlfn.XLOOKUP(_xlfn.XLOOKUP($C$6,TransactionFact[Address],TransactionFact[TransactionID],""),ChecklistTable[TransactionID],ChecklistTable[ABA],""),"")=0),"",IFERROR(_xlfn.XLOOKUP(_xlfn.XLOOKUP($C$6,TransactionFact[Address],TransactionFact[TransactionID],""),ChecklistTable[TransactionID],ChecklistTable[ABA],""),""))</f>
        <v/>
      </c>
      <c r="E37" s="126"/>
      <c r="F37" s="126" t="s">
        <v>441</v>
      </c>
      <c r="G37" s="224"/>
      <c r="H37" s="188" t="str">
        <f>IF(OR(IFERROR(_xlfn.XLOOKUP(_xlfn.XLOOKUP($C$6,TransactionFact[Address],TransactionFact[TransactionID],""),ChecklistTable[TransactionID],ChecklistTable[AntiFraudDisclosure],""),"")="",IFERROR(_xlfn.XLOOKUP(_xlfn.XLOOKUP($C$6,TransactionFact[Address],TransactionFact[TransactionID],""),ChecklistTable[TransactionID],ChecklistTable[AntiFraudDisclosure],""),"")=0),"",IFERROR(_xlfn.XLOOKUP(_xlfn.XLOOKUP($C$6,TransactionFact[Address],TransactionFact[TransactionID],""),ChecklistTable[TransactionID],ChecklistTable[AntiFraudDisclosure],""),""))</f>
        <v/>
      </c>
    </row>
    <row r="38" spans="1:8" x14ac:dyDescent="0.35">
      <c r="A38" s="131"/>
      <c r="B38" s="128" t="s">
        <v>435</v>
      </c>
      <c r="C38" s="226"/>
      <c r="D38" s="186" t="str">
        <f>IF(OR(IFERROR(_xlfn.XLOOKUP(_xlfn.XLOOKUP($C$6,TransactionFact[Address],TransactionFact[TransactionID],""),ChecklistTable[TransactionID],ChecklistTable[ABAPOD],""),"")="",IFERROR(_xlfn.XLOOKUP(_xlfn.XLOOKUP($C$6,TransactionFact[Address],TransactionFact[TransactionID],""),ChecklistTable[TransactionID],ChecklistTable[ABAPOD],""),"")=0),"",IFERROR(_xlfn.XLOOKUP(_xlfn.XLOOKUP($C$6,TransactionFact[Address],TransactionFact[TransactionID],""),ChecklistTable[TransactionID],ChecklistTable[ABAPOD],""),""))</f>
        <v/>
      </c>
      <c r="E38" s="128"/>
      <c r="F38" s="128" t="s">
        <v>499</v>
      </c>
      <c r="G38" s="226"/>
      <c r="H38" s="189" t="str">
        <f>IF(OR(IFERROR(_xlfn.XLOOKUP(_xlfn.XLOOKUP($C$6,TransactionFact[Address],TransactionFact[TransactionID],""),ChecklistTable[TransactionID],ChecklistTable[PreApprovalProof],""),"")="",IFERROR(_xlfn.XLOOKUP(_xlfn.XLOOKUP($C$6,TransactionFact[Address],TransactionFact[TransactionID],""),ChecklistTable[TransactionID],ChecklistTable[PreApprovalProof],""),"")=0),"",IFERROR(_xlfn.XLOOKUP(_xlfn.XLOOKUP($C$6,TransactionFact[Address],TransactionFact[TransactionID],""),ChecklistTable[TransactionID],ChecklistTable[PreApprovalProof],""),""))</f>
        <v/>
      </c>
    </row>
    <row r="39" spans="1:8" x14ac:dyDescent="0.35">
      <c r="C39"/>
      <c r="F39"/>
    </row>
    <row r="40" spans="1:8" ht="15.5" x14ac:dyDescent="0.35">
      <c r="A40" s="144" t="s">
        <v>500</v>
      </c>
      <c r="B40" s="142"/>
      <c r="C40" s="142"/>
      <c r="D40" s="142"/>
      <c r="E40" s="142"/>
      <c r="F40" s="142"/>
      <c r="G40" s="142"/>
      <c r="H40" s="145"/>
    </row>
    <row r="41" spans="1:8" ht="15" customHeight="1" x14ac:dyDescent="0.35">
      <c r="A41" s="130"/>
      <c r="B41" s="143" t="s">
        <v>259</v>
      </c>
      <c r="C41" s="163" t="s">
        <v>489</v>
      </c>
      <c r="D41" s="164" t="s">
        <v>490</v>
      </c>
      <c r="E41" s="126"/>
      <c r="F41" s="143" t="s">
        <v>259</v>
      </c>
      <c r="G41" s="162" t="s">
        <v>489</v>
      </c>
      <c r="H41" s="190" t="s">
        <v>490</v>
      </c>
    </row>
    <row r="42" spans="1:8" x14ac:dyDescent="0.35">
      <c r="A42" s="130"/>
      <c r="B42" s="126" t="s">
        <v>525</v>
      </c>
      <c r="C42" s="224"/>
      <c r="D42" s="192" t="str">
        <f>IF(OR(IFERROR(_xlfn.XLOOKUP(_xlfn.XLOOKUP($C$6,TransactionFact[Address],TransactionFact[TransactionID],""),ChecklistTable[TransactionID],ChecklistTable[MLSStatusChange],""),"")="",IFERROR(_xlfn.XLOOKUP(_xlfn.XLOOKUP($C$6,TransactionFact[Address],TransactionFact[TransactionID],""),ChecklistTable[TransactionID],ChecklistTable[MLSStatusChange],""),"")=0),"",IFERROR(_xlfn.XLOOKUP(_xlfn.XLOOKUP($C$6,TransactionFact[Address],TransactionFact[TransactionID],""),ChecklistTable[TransactionID],ChecklistTable[MLSStatusChange],""),""))</f>
        <v/>
      </c>
      <c r="E42" s="126"/>
      <c r="F42" s="126" t="s">
        <v>447</v>
      </c>
      <c r="G42" s="224"/>
      <c r="H42" s="191" t="str">
        <f>IF(OR(IFERROR(_xlfn.XLOOKUP(_xlfn.XLOOKUP($C$6,TransactionFact[Address],TransactionFact[TransactionID],""),ChecklistTable[TransactionID],ChecklistTable[LogSalesBook],""),"")="",IFERROR(_xlfn.XLOOKUP(_xlfn.XLOOKUP($C$6,TransactionFact[Address],TransactionFact[TransactionID],""),ChecklistTable[TransactionID],ChecklistTable[LogSalesBook],""),"")=0),"",IFERROR(_xlfn.XLOOKUP(_xlfn.XLOOKUP($C$6,TransactionFact[Address],TransactionFact[TransactionID],""),ChecklistTable[TransactionID],ChecklistTable[LogSalesBook],""),""))</f>
        <v/>
      </c>
    </row>
    <row r="43" spans="1:8" x14ac:dyDescent="0.35">
      <c r="A43" s="130"/>
      <c r="B43" s="126" t="s">
        <v>501</v>
      </c>
      <c r="C43" s="224"/>
      <c r="D43" s="192" t="str">
        <f>IF(OR(IFERROR(_xlfn.XLOOKUP(_xlfn.XLOOKUP($C$6,TransactionFact[Address],TransactionFact[TransactionID],""),ChecklistTable[TransactionID],ChecklistTable[ZipFormsSaleFile],""),"")="",IFERROR(_xlfn.XLOOKUP(_xlfn.XLOOKUP($C$6,TransactionFact[Address],TransactionFact[TransactionID],""),ChecklistTable[TransactionID],ChecklistTable[ZipFormsSaleFile],""),"")=0),"",IFERROR(_xlfn.XLOOKUP(_xlfn.XLOOKUP($C$6,TransactionFact[Address],TransactionFact[TransactionID],""),ChecklistTable[TransactionID],ChecklistTable[ZipFormsSaleFile],""),""))</f>
        <v/>
      </c>
      <c r="E43" s="126"/>
      <c r="F43" s="126" t="s">
        <v>528</v>
      </c>
      <c r="G43" s="224"/>
      <c r="H43" s="191" t="str">
        <f>IF(OR(IFERROR(_xlfn.XLOOKUP(_xlfn.XLOOKUP($C$6,TransactionFact[Address],TransactionFact[TransactionID],""),ChecklistTable[TransactionID],ChecklistTable[FBPostWindowSheet],""),"")="",IFERROR(_xlfn.XLOOKUP(_xlfn.XLOOKUP($C$6,TransactionFact[Address],TransactionFact[TransactionID],""),ChecklistTable[TransactionID],ChecklistTable[FBPostWindowSheet],""),"")=0),"",IFERROR(_xlfn.XLOOKUP(_xlfn.XLOOKUP($C$6,TransactionFact[Address],TransactionFact[TransactionID],""),ChecklistTable[TransactionID],ChecklistTable[FBPostWindowSheet],""),""))</f>
        <v/>
      </c>
    </row>
    <row r="44" spans="1:8" x14ac:dyDescent="0.35">
      <c r="A44" s="130"/>
      <c r="B44" s="126" t="s">
        <v>526</v>
      </c>
      <c r="C44" s="224"/>
      <c r="D44" s="192" t="str">
        <f>IF(OR(IFERROR(_xlfn.XLOOKUP(_xlfn.XLOOKUP($C$6,TransactionFact[Address],TransactionFact[TransactionID],""),ChecklistTable[TransactionID],ChecklistTable[ZipFormsEBRA],""),"")="",IFERROR(_xlfn.XLOOKUP(_xlfn.XLOOKUP($C$6,TransactionFact[Address],TransactionFact[TransactionID],""),ChecklistTable[TransactionID],ChecklistTable[ZipFormsEBRA],""),"")=0),"",IFERROR(_xlfn.XLOOKUP(_xlfn.XLOOKUP($C$6,TransactionFact[Address],TransactionFact[TransactionID],""),ChecklistTable[TransactionID],ChecklistTable[ZipFormsEBRA],""),""))</f>
        <v/>
      </c>
      <c r="E44" s="126"/>
      <c r="F44" s="126" t="s">
        <v>503</v>
      </c>
      <c r="G44" s="224"/>
      <c r="H44" s="191" t="str">
        <f>IF(OR(IFERROR(_xlfn.XLOOKUP(_xlfn.XLOOKUP($C$6,TransactionFact[Address],TransactionFact[TransactionID],""),ChecklistTable[TransactionID],ChecklistTable[RecordRobSpreadsheet],""),"")="",IFERROR(_xlfn.XLOOKUP(_xlfn.XLOOKUP($C$6,TransactionFact[Address],TransactionFact[TransactionID],""),ChecklistTable[TransactionID],ChecklistTable[RecordRobSpreadsheet],""),"")=0),"",IFERROR(_xlfn.XLOOKUP(_xlfn.XLOOKUP($C$6,TransactionFact[Address],TransactionFact[TransactionID],""),ChecklistTable[TransactionID],ChecklistTable[RecordRobSpreadsheet],""),""))</f>
        <v/>
      </c>
    </row>
    <row r="45" spans="1:8" x14ac:dyDescent="0.35">
      <c r="A45" s="130"/>
      <c r="B45" s="126" t="s">
        <v>445</v>
      </c>
      <c r="C45" s="224"/>
      <c r="D45" s="192" t="str">
        <f>IF(OR(IFERROR(_xlfn.XLOOKUP(_xlfn.XLOOKUP($C$6,TransactionFact[Address],TransactionFact[TransactionID],""),ChecklistTable[TransactionID],ChecklistTable[SentToDataEntry],""),"")="",IFERROR(_xlfn.XLOOKUP(_xlfn.XLOOKUP($C$6,TransactionFact[Address],TransactionFact[TransactionID],""),ChecklistTable[TransactionID],ChecklistTable[SentToDataEntry],""),"")=0),"",IFERROR(_xlfn.XLOOKUP(_xlfn.XLOOKUP($C$6,TransactionFact[Address],TransactionFact[TransactionID],""),ChecklistTable[TransactionID],ChecklistTable[SentToDataEntry],""),""))</f>
        <v/>
      </c>
      <c r="E45" s="126"/>
      <c r="F45" s="126" t="s">
        <v>529</v>
      </c>
      <c r="G45" s="224"/>
      <c r="H45" s="191" t="str">
        <f>IF(OR(IFERROR(_xlfn.XLOOKUP(_xlfn.XLOOKUP($C$6,TransactionFact[Address],TransactionFact[TransactionID],""),ChecklistTable[TransactionID],ChecklistTable[RegisterBuyerEBRA],""),"")="",IFERROR(_xlfn.XLOOKUP(_xlfn.XLOOKUP($C$6,TransactionFact[Address],TransactionFact[TransactionID],""),ChecklistTable[TransactionID],ChecklistTable[RegisterBuyerEBRA],""),"")=0),"",IFERROR(_xlfn.XLOOKUP(_xlfn.XLOOKUP($C$6,TransactionFact[Address],TransactionFact[TransactionID],""),ChecklistTable[TransactionID],ChecklistTable[RegisterBuyerEBRA],""),""))</f>
        <v/>
      </c>
    </row>
    <row r="46" spans="1:8" x14ac:dyDescent="0.35">
      <c r="A46" s="130"/>
      <c r="B46" s="126" t="s">
        <v>502</v>
      </c>
      <c r="C46" s="224"/>
      <c r="D46" s="192" t="str">
        <f>IF(OR(IFERROR(_xlfn.XLOOKUP(_xlfn.XLOOKUP($C$6,TransactionFact[Address],TransactionFact[TransactionID],""),ChecklistTable[TransactionID],ChecklistTable[PrestartToTitle],""),"")="",IFERROR(_xlfn.XLOOKUP(_xlfn.XLOOKUP($C$6,TransactionFact[Address],TransactionFact[TransactionID],""),ChecklistTable[TransactionID],ChecklistTable[PrestartToTitle],""),"")=0),"",IFERROR(_xlfn.XLOOKUP(_xlfn.XLOOKUP($C$6,TransactionFact[Address],TransactionFact[TransactionID],""),ChecklistTable[TransactionID],ChecklistTable[PrestartToTitle],""),""))</f>
        <v/>
      </c>
      <c r="E46" s="126"/>
      <c r="F46" s="126" t="s">
        <v>530</v>
      </c>
      <c r="G46" s="224"/>
      <c r="H46" s="191" t="str">
        <f>IF(OR(IFERROR(_xlfn.XLOOKUP(_xlfn.XLOOKUP($C$6,TransactionFact[Address],TransactionFact[TransactionID],""),ChecklistTable[TransactionID],ChecklistTable[HWOrdered],""),"")="",IFERROR(_xlfn.XLOOKUP(_xlfn.XLOOKUP($C$6,TransactionFact[Address],TransactionFact[TransactionID],""),ChecklistTable[TransactionID],ChecklistTable[HWOrdered],""),"")=0),"",IFERROR(_xlfn.XLOOKUP(_xlfn.XLOOKUP($C$6,TransactionFact[Address],TransactionFact[TransactionID],""),ChecklistTable[TransactionID],ChecklistTable[HWOrdered],""),""))</f>
        <v/>
      </c>
    </row>
    <row r="47" spans="1:8" x14ac:dyDescent="0.35">
      <c r="A47" s="131"/>
      <c r="B47" s="128" t="s">
        <v>527</v>
      </c>
      <c r="C47" s="226"/>
      <c r="D47" s="193" t="str">
        <f>IF(OR(IFERROR(_xlfn.XLOOKUP(_xlfn.XLOOKUP($C$6,TransactionFact[Address],TransactionFact[TransactionID],""),ChecklistTable[TransactionID],ChecklistTable[ScanNoticeHHMS],""),"")="",IFERROR(_xlfn.XLOOKUP(_xlfn.XLOOKUP($C$6,TransactionFact[Address],TransactionFact[TransactionID],""),ChecklistTable[TransactionID],ChecklistTable[ScanNoticeHHMS],""),"")=0),"",IFERROR(_xlfn.XLOOKUP(_xlfn.XLOOKUP($C$6,TransactionFact[Address],TransactionFact[TransactionID],""),ChecklistTable[TransactionID],ChecklistTable[ScanNoticeHHMS],""),""))</f>
        <v/>
      </c>
      <c r="E47" s="128"/>
      <c r="F47" s="128"/>
      <c r="G47" s="128"/>
      <c r="H47" s="133"/>
    </row>
    <row r="48" spans="1:8" x14ac:dyDescent="0.35">
      <c r="C48"/>
      <c r="F48"/>
    </row>
    <row r="49" spans="1:8" ht="15.5" x14ac:dyDescent="0.35">
      <c r="A49" s="148" t="s">
        <v>504</v>
      </c>
      <c r="B49" s="146"/>
      <c r="C49" s="146"/>
      <c r="D49" s="146"/>
      <c r="E49" s="146"/>
      <c r="F49" s="146"/>
      <c r="G49" s="146"/>
      <c r="H49" s="149"/>
    </row>
    <row r="50" spans="1:8" x14ac:dyDescent="0.35">
      <c r="A50" s="130"/>
      <c r="B50" s="147" t="s">
        <v>259</v>
      </c>
      <c r="C50" s="194" t="s">
        <v>489</v>
      </c>
      <c r="D50" s="195" t="s">
        <v>490</v>
      </c>
      <c r="E50" s="126"/>
      <c r="F50" s="147" t="s">
        <v>259</v>
      </c>
      <c r="G50" s="194" t="s">
        <v>489</v>
      </c>
      <c r="H50" s="198" t="s">
        <v>490</v>
      </c>
    </row>
    <row r="51" spans="1:8" x14ac:dyDescent="0.35">
      <c r="A51" s="130"/>
      <c r="B51" s="126" t="s">
        <v>523</v>
      </c>
      <c r="C51" s="221"/>
      <c r="D51" s="196" t="str">
        <f>IF(IFERROR(_xlfn.XLOOKUP(_xlfn.XLOOKUP($C$6,TransactionFact[Address],TransactionFact[TransactionID],""),ChecklistTable[TransactionID],ChecklistTable[EMReceivedDeposited],""),"")=0,"",IFERROR(_xlfn.XLOOKUP(_xlfn.XLOOKUP($C$6,TransactionFact[Address],TransactionFact[TransactionID],""),ChecklistTable[TransactionID],ChecklistTable[EMReceivedDeposited],""),""))</f>
        <v/>
      </c>
      <c r="E51" s="126"/>
      <c r="F51" s="126" t="s">
        <v>506</v>
      </c>
      <c r="G51" s="221"/>
      <c r="H51" s="199" t="str">
        <f>IF(IFERROR(_xlfn.XLOOKUP(_xlfn.XLOOKUP($C$6,TransactionFact[Address],TransactionFact[TransactionID],""),ChecklistTable[TransactionID],ChecklistTable[CommInvoiceToTitle],""),"")=0,"",IFERROR(_xlfn.XLOOKUP(_xlfn.XLOOKUP($C$6,TransactionFact[Address],TransactionFact[TransactionID],""),ChecklistTable[TransactionID],ChecklistTable[CommInvoiceToTitle],""),""))</f>
        <v/>
      </c>
    </row>
    <row r="52" spans="1:8" ht="15" customHeight="1" x14ac:dyDescent="0.35">
      <c r="A52" s="130"/>
      <c r="B52" s="126" t="s">
        <v>522</v>
      </c>
      <c r="C52" s="221"/>
      <c r="D52" s="196" t="str">
        <f>IF(OR(IFERROR(_xlfn.XLOOKUP(_xlfn.XLOOKUP($C$6,TransactionFact[Address],TransactionFact[TransactionID],""),ChecklistTable[TransactionID],ChecklistTable[EMDepositMethod],""),"")="",IFERROR(_xlfn.XLOOKUP(_xlfn.XLOOKUP($C$6,TransactionFact[Address],TransactionFact[TransactionID],""),ChecklistTable[TransactionID],ChecklistTable[EMDepositMethod],""),"")=0),"",IFERROR(_xlfn.XLOOKUP(_xlfn.XLOOKUP($C$6,TransactionFact[Address],TransactionFact[TransactionID],""),ChecklistTable[TransactionID],ChecklistTable[EMDepositMethod],""),""))</f>
        <v/>
      </c>
      <c r="E52" s="126"/>
      <c r="F52" s="126" t="s">
        <v>507</v>
      </c>
      <c r="G52" s="221"/>
      <c r="H52" s="199" t="str">
        <f>IF(OR(IFERROR(_xlfn.XLOOKUP(_xlfn.XLOOKUP($C$6,TransactionFact[Address],TransactionFact[TransactionID],""),ChecklistTable[TransactionID],ChecklistTable[ManagerSalesSheet],""),"")="",IFERROR(_xlfn.XLOOKUP(_xlfn.XLOOKUP($C$6,TransactionFact[Address],TransactionFact[TransactionID],""),ChecklistTable[TransactionID],ChecklistTable[ManagerSalesSheet],""),"")=0),"",IFERROR(_xlfn.XLOOKUP(_xlfn.XLOOKUP($C$6,TransactionFact[Address],TransactionFact[TransactionID],""),ChecklistTable[TransactionID],ChecklistTable[ManagerSalesSheet],""),""))</f>
        <v/>
      </c>
    </row>
    <row r="53" spans="1:8" x14ac:dyDescent="0.35">
      <c r="A53" s="130"/>
      <c r="B53" s="126" t="s">
        <v>524</v>
      </c>
      <c r="C53" s="221"/>
      <c r="D53" s="196" t="str">
        <f>IF(IFERROR(_xlfn.XLOOKUP(_xlfn.XLOOKUP($C$6,TransactionFact[Address],TransactionFact[TransactionID],""),ChecklistTable[TransactionID],ChecklistTable[EMSentAccounting],""),"")=0,"",IFERROR(_xlfn.XLOOKUP(_xlfn.XLOOKUP($C$6,TransactionFact[Address],TransactionFact[TransactionID],""),ChecklistTable[TransactionID],ChecklistTable[EMSentAccounting],""),""))</f>
        <v/>
      </c>
      <c r="E53" s="126"/>
      <c r="F53" s="126" t="s">
        <v>508</v>
      </c>
      <c r="G53" s="221"/>
      <c r="H53" s="199" t="str">
        <f>IF(OR(IFERROR(_xlfn.XLOOKUP(_xlfn.XLOOKUP($C$6,TransactionFact[Address],TransactionFact[TransactionID],""),ChecklistTable[TransactionID],ChecklistTable[CommInvoicePDrive],""),"")="",IFERROR(_xlfn.XLOOKUP(_xlfn.XLOOKUP($C$6,TransactionFact[Address],TransactionFact[TransactionID],""),ChecklistTable[TransactionID],ChecklistTable[CommInvoicePDrive],""),"")=0),"",IFERROR(_xlfn.XLOOKUP(_xlfn.XLOOKUP($C$6,TransactionFact[Address],TransactionFact[TransactionID],""),ChecklistTable[TransactionID],ChecklistTable[CommInvoicePDrive],""),""))</f>
        <v/>
      </c>
    </row>
    <row r="54" spans="1:8" x14ac:dyDescent="0.35">
      <c r="A54" s="131"/>
      <c r="B54" s="128" t="s">
        <v>505</v>
      </c>
      <c r="C54" s="227"/>
      <c r="D54" s="197" t="str">
        <f>IF(OR(IFERROR(_xlfn.XLOOKUP(_xlfn.XLOOKUP($C$6,TransactionFact[Address],TransactionFact[TransactionID],""),ChecklistTable[TransactionID],ChecklistTable[CopyPDriveZipForms],""),"")="",IFERROR(_xlfn.XLOOKUP(_xlfn.XLOOKUP($C$6,TransactionFact[Address],TransactionFact[TransactionID],""),ChecklistTable[TransactionID],ChecklistTable[CopyPDriveZipForms],""),"")=0),"",IFERROR(_xlfn.XLOOKUP(_xlfn.XLOOKUP($C$6,TransactionFact[Address],TransactionFact[TransactionID],""),ChecklistTable[TransactionID],ChecklistTable[CopyPDriveZipForms],""),""))</f>
        <v/>
      </c>
      <c r="E54" s="128"/>
      <c r="F54" s="128"/>
      <c r="G54" s="128"/>
      <c r="H54" s="133"/>
    </row>
    <row r="55" spans="1:8" x14ac:dyDescent="0.35">
      <c r="C55"/>
      <c r="F55"/>
    </row>
    <row r="56" spans="1:8" ht="15.5" x14ac:dyDescent="0.35">
      <c r="A56" s="152" t="s">
        <v>509</v>
      </c>
      <c r="B56" s="150"/>
      <c r="C56" s="150"/>
      <c r="D56" s="150"/>
      <c r="E56" s="150"/>
      <c r="F56" s="150"/>
      <c r="G56" s="150"/>
      <c r="H56" s="153"/>
    </row>
    <row r="57" spans="1:8" x14ac:dyDescent="0.35">
      <c r="A57" s="130"/>
      <c r="B57" s="151" t="s">
        <v>259</v>
      </c>
      <c r="C57" s="200" t="s">
        <v>489</v>
      </c>
      <c r="D57" s="203" t="s">
        <v>490</v>
      </c>
      <c r="E57" s="126"/>
      <c r="F57" s="151" t="s">
        <v>259</v>
      </c>
      <c r="G57" s="200" t="s">
        <v>489</v>
      </c>
      <c r="H57" s="201" t="s">
        <v>490</v>
      </c>
    </row>
    <row r="58" spans="1:8" x14ac:dyDescent="0.35">
      <c r="A58" s="130"/>
      <c r="B58" s="126" t="s">
        <v>455</v>
      </c>
      <c r="C58" s="221"/>
      <c r="D58" s="204" t="str">
        <f>IF(OR(IFERROR(_xlfn.XLOOKUP(_xlfn.XLOOKUP($C$6,TransactionFact[Address],TransactionFact[TransactionID],""),ChecklistTable[TransactionID],ChecklistTable[SocialMediaSoldPost],""),"")="",IFERROR(_xlfn.XLOOKUP(_xlfn.XLOOKUP($C$6,TransactionFact[Address],TransactionFact[TransactionID],""),ChecklistTable[TransactionID],ChecklistTable[SocialMediaSoldPost],""),"")=0),"",IFERROR(_xlfn.XLOOKUP(_xlfn.XLOOKUP($C$6,TransactionFact[Address],TransactionFact[TransactionID],""),ChecklistTable[TransactionID],ChecklistTable[SocialMediaSoldPost],""),""))</f>
        <v/>
      </c>
      <c r="E58" s="126"/>
      <c r="F58" s="126" t="s">
        <v>511</v>
      </c>
      <c r="G58" s="221"/>
      <c r="H58" s="202" t="str">
        <f>IF(OR(IFERROR(_xlfn.XLOOKUP(_xlfn.XLOOKUP($C$6,TransactionFact[Address],TransactionFact[TransactionID],""),ChecklistTable[TransactionID],ChecklistTable[ZipFormsClosed],""),"")="",IFERROR(_xlfn.XLOOKUP(_xlfn.XLOOKUP($C$6,TransactionFact[Address],TransactionFact[TransactionID],""),ChecklistTable[TransactionID],ChecklistTable[ZipFormsClosed],""),"")=0),"",IFERROR(_xlfn.XLOOKUP(_xlfn.XLOOKUP($C$6,TransactionFact[Address],TransactionFact[TransactionID],""),ChecklistTable[TransactionID],ChecklistTable[ZipFormsClosed],""),""))</f>
        <v/>
      </c>
    </row>
    <row r="59" spans="1:8" x14ac:dyDescent="0.35">
      <c r="A59" s="130"/>
      <c r="B59" s="126" t="s">
        <v>456</v>
      </c>
      <c r="C59" s="221"/>
      <c r="D59" s="204" t="str">
        <f>IF(OR(IFERROR(_xlfn.XLOOKUP(_xlfn.XLOOKUP($C$6,TransactionFact[Address],TransactionFact[TransactionID],""),ChecklistTable[TransactionID],ChecklistTable[MarkSoldMLS],""),"")="",IFERROR(_xlfn.XLOOKUP(_xlfn.XLOOKUP($C$6,TransactionFact[Address],TransactionFact[TransactionID],""),ChecklistTable[TransactionID],ChecklistTable[MarkSoldMLS],""),"")=0),"",IFERROR(_xlfn.XLOOKUP(_xlfn.XLOOKUP($C$6,TransactionFact[Address],TransactionFact[TransactionID],""),ChecklistTable[TransactionID],ChecklistTable[MarkSoldMLS],""),""))</f>
        <v/>
      </c>
      <c r="E59" s="126"/>
      <c r="F59" s="126" t="s">
        <v>512</v>
      </c>
      <c r="G59" s="221"/>
      <c r="H59" s="202" t="str">
        <f>IF(OR(IFERROR(_xlfn.XLOOKUP(_xlfn.XLOOKUP($C$6,TransactionFact[Address],TransactionFact[TransactionID],""),ChecklistTable[TransactionID],ChecklistTable[RemoveWindowSheet],""),"")="",IFERROR(_xlfn.XLOOKUP(_xlfn.XLOOKUP($C$6,TransactionFact[Address],TransactionFact[TransactionID],""),ChecklistTable[TransactionID],ChecklistTable[RemoveWindowSheet],""),"")=0),"",IFERROR(_xlfn.XLOOKUP(_xlfn.XLOOKUP($C$6,TransactionFact[Address],TransactionFact[TransactionID],""),ChecklistTable[TransactionID],ChecklistTable[RemoveWindowSheet],""),""))</f>
        <v/>
      </c>
    </row>
    <row r="60" spans="1:8" x14ac:dyDescent="0.35">
      <c r="A60" s="131"/>
      <c r="B60" s="128" t="s">
        <v>510</v>
      </c>
      <c r="C60" s="227"/>
      <c r="D60" s="205" t="str">
        <f>IF(OR(IFERROR(_xlfn.XLOOKUP(_xlfn.XLOOKUP($C$6,TransactionFact[Address],TransactionFact[TransactionID],""),ChecklistTable[TransactionID],ChecklistTable[OrderSignDown],""),"")="",IFERROR(_xlfn.XLOOKUP(_xlfn.XLOOKUP($C$6,TransactionFact[Address],TransactionFact[TransactionID],""),ChecklistTable[TransactionID],ChecklistTable[OrderSignDown],""),"")=0),"",IFERROR(_xlfn.XLOOKUP(_xlfn.XLOOKUP($C$6,TransactionFact[Address],TransactionFact[TransactionID],""),ChecklistTable[TransactionID],ChecklistTable[OrderSignDown],""),""))</f>
        <v/>
      </c>
      <c r="E60" s="128"/>
      <c r="F60" s="128"/>
      <c r="G60" s="128"/>
      <c r="H60" s="133"/>
    </row>
    <row r="61" spans="1:8" ht="20" customHeight="1" x14ac:dyDescent="0.35">
      <c r="C61"/>
      <c r="F61"/>
    </row>
    <row r="62" spans="1:8" ht="20" customHeight="1" x14ac:dyDescent="0.35">
      <c r="A62" s="159" t="s">
        <v>513</v>
      </c>
      <c r="B62" s="154"/>
      <c r="C62" s="154"/>
      <c r="D62" s="154"/>
      <c r="E62" s="154"/>
      <c r="F62" s="154"/>
      <c r="G62" s="154"/>
      <c r="H62" s="160"/>
    </row>
    <row r="63" spans="1:8" x14ac:dyDescent="0.35">
      <c r="A63" s="130"/>
      <c r="B63" s="155" t="s">
        <v>259</v>
      </c>
      <c r="C63" s="161" t="s">
        <v>489</v>
      </c>
      <c r="D63" s="206" t="s">
        <v>490</v>
      </c>
      <c r="E63" s="126"/>
      <c r="F63" s="156" t="s">
        <v>259</v>
      </c>
      <c r="G63" s="161" t="s">
        <v>489</v>
      </c>
      <c r="H63" s="209" t="s">
        <v>490</v>
      </c>
    </row>
    <row r="64" spans="1:8" x14ac:dyDescent="0.35">
      <c r="A64" s="130"/>
      <c r="B64" s="126" t="s">
        <v>514</v>
      </c>
      <c r="C64" s="221"/>
      <c r="D64" s="207" t="str">
        <f>IF(OR(IFERROR(_xlfn.XLOOKUP(_xlfn.XLOOKUP($C$6,TransactionFact[Address],TransactionFact[TransactionID],""),ChecklistTable[TransactionID],ChecklistTable[BOMBMLSStatus],""),"")="",IFERROR(_xlfn.XLOOKUP(_xlfn.XLOOKUP($C$6,TransactionFact[Address],TransactionFact[TransactionID],""),ChecklistTable[TransactionID],ChecklistTable[BOMBMLSStatus],""),"")=0),"",IFERROR(_xlfn.XLOOKUP(_xlfn.XLOOKUP($C$6,TransactionFact[Address],TransactionFact[TransactionID],""),ChecklistTable[TransactionID],ChecklistTable[BOMBMLSStatus],""),""))</f>
        <v/>
      </c>
      <c r="E64" s="126"/>
      <c r="F64" s="157" t="s">
        <v>518</v>
      </c>
      <c r="G64" s="221"/>
      <c r="H64" s="210" t="str">
        <f>_xlfn.LET(_xlpm.val,IFERROR(_xlfn.XLOOKUP(_xlfn.XLOOKUP($C$6,TransactionFact[Address],TransactionFact[TransactionID],""),ChecklistTable[TransactionID],ChecklistTable[BOMBHWCanceled],""),""),IF(OR(_xlpm.val="",_xlpm.val=0),"",_xlpm.val))</f>
        <v/>
      </c>
    </row>
    <row r="65" spans="1:8" x14ac:dyDescent="0.35">
      <c r="A65" s="130"/>
      <c r="B65" s="126" t="s">
        <v>515</v>
      </c>
      <c r="C65" s="221"/>
      <c r="D65" s="207" t="str">
        <f>IF(OR(IFERROR(_xlfn.XLOOKUP(_xlfn.XLOOKUP($C$6,TransactionFact[Address],TransactionFact[TransactionID],""),ChecklistTable[TransactionID],ChecklistTable[BOMBMutualRelease],""),"")="",IFERROR(_xlfn.XLOOKUP(_xlfn.XLOOKUP($C$6,TransactionFact[Address],TransactionFact[TransactionID],""),ChecklistTable[TransactionID],ChecklistTable[BOMBMutualRelease],""),"")=0),"",IFERROR(_xlfn.XLOOKUP(_xlfn.XLOOKUP($C$6,TransactionFact[Address],TransactionFact[TransactionID],""),ChecklistTable[TransactionID],ChecklistTable[BOMBMutualRelease],""),""))</f>
        <v/>
      </c>
      <c r="E65" s="126"/>
      <c r="F65" s="157" t="s">
        <v>519</v>
      </c>
      <c r="G65" s="221"/>
      <c r="H65" s="210" t="str">
        <f>_xlfn.LET(_xlpm.val,IFERROR(_xlfn.XLOOKUP(_xlfn.XLOOKUP($C$6,TransactionFact[Address],TransactionFact[TransactionID],""),ChecklistTable[TransactionID],ChecklistTable[BOMBZipFormsStatus],""),""),IF(OR(_xlpm.val="",_xlpm.val=0),"",_xlpm.val))</f>
        <v/>
      </c>
    </row>
    <row r="66" spans="1:8" x14ac:dyDescent="0.35">
      <c r="A66" s="130"/>
      <c r="B66" s="126" t="s">
        <v>516</v>
      </c>
      <c r="C66" s="221"/>
      <c r="D66" s="207" t="str">
        <f>IF(OR(IFERROR(_xlfn.XLOOKUP(_xlfn.XLOOKUP($C$6,TransactionFact[Address],TransactionFact[TransactionID],""),ChecklistTable[TransactionID],ChecklistTable[BOMBTitleNotified],""),"")="",IFERROR(_xlfn.XLOOKUP(_xlfn.XLOOKUP($C$6,TransactionFact[Address],TransactionFact[TransactionID],""),ChecklistTable[TransactionID],ChecklistTable[BOMBTitleNotified],""),"")=0),"",IFERROR(_xlfn.XLOOKUP(_xlfn.XLOOKUP($C$6,TransactionFact[Address],TransactionFact[TransactionID],""),ChecklistTable[TransactionID],ChecklistTable[BOMBTitleNotified],""),""))</f>
        <v/>
      </c>
      <c r="E66" s="126"/>
      <c r="F66" s="157" t="s">
        <v>520</v>
      </c>
      <c r="G66" s="221"/>
      <c r="H66" s="210" t="str">
        <f>_xlfn.LET(_xlpm.val,IFERROR(_xlfn.XLOOKUP(_xlfn.XLOOKUP($C$6,TransactionFact[Address],TransactionFact[TransactionID],""),ChecklistTable[TransactionID],ChecklistTable[BOMBWindowSheet],""),""),IF(OR(_xlpm.val="",_xlpm.val=0),"",_xlpm.val))</f>
        <v/>
      </c>
    </row>
    <row r="67" spans="1:8" x14ac:dyDescent="0.35">
      <c r="A67" s="131"/>
      <c r="B67" s="128" t="s">
        <v>517</v>
      </c>
      <c r="C67" s="227"/>
      <c r="D67" s="208" t="str">
        <f>IF(OR(IFERROR(_xlfn.XLOOKUP(_xlfn.XLOOKUP($C$6,TransactionFact[Address],TransactionFact[TransactionID],""),ChecklistTable[TransactionID],ChecklistTable[BOMBCodedPP],""),"")="",IFERROR(_xlfn.XLOOKUP(_xlfn.XLOOKUP($C$6,TransactionFact[Address],TransactionFact[TransactionID],""),ChecklistTable[TransactionID],ChecklistTable[BOMBCodedPP],""),"")=0),"",IFERROR(_xlfn.XLOOKUP(_xlfn.XLOOKUP($C$6,TransactionFact[Address],TransactionFact[TransactionID],""),ChecklistTable[TransactionID],ChecklistTable[BOMBCodedPP],""),""))</f>
        <v/>
      </c>
      <c r="E67" s="128"/>
      <c r="F67" s="158"/>
      <c r="G67" s="128"/>
      <c r="H67" s="133"/>
    </row>
    <row r="69" spans="1:8" ht="15.5" x14ac:dyDescent="0.35">
      <c r="A69" s="124" t="s">
        <v>521</v>
      </c>
      <c r="B69" s="124"/>
      <c r="C69" s="124"/>
      <c r="D69" s="124"/>
      <c r="E69" s="124"/>
      <c r="F69" s="124"/>
      <c r="G69" s="124"/>
      <c r="H69" s="124"/>
    </row>
    <row r="70" spans="1:8" x14ac:dyDescent="0.35">
      <c r="C70"/>
      <c r="F70"/>
    </row>
    <row r="71" spans="1:8" x14ac:dyDescent="0.35">
      <c r="C71"/>
      <c r="F71"/>
    </row>
    <row r="72" spans="1:8" x14ac:dyDescent="0.35">
      <c r="C72"/>
      <c r="F72"/>
    </row>
    <row r="73" spans="1:8" x14ac:dyDescent="0.35">
      <c r="C73"/>
      <c r="F73"/>
    </row>
    <row r="74" spans="1:8" x14ac:dyDescent="0.35">
      <c r="C74"/>
      <c r="F74"/>
    </row>
    <row r="75" spans="1:8" x14ac:dyDescent="0.35">
      <c r="C75"/>
      <c r="F75"/>
    </row>
    <row r="76" spans="1:8" x14ac:dyDescent="0.35">
      <c r="C76"/>
      <c r="F76"/>
    </row>
    <row r="77" spans="1:8" x14ac:dyDescent="0.35">
      <c r="C77"/>
      <c r="F77"/>
    </row>
    <row r="78" spans="1:8" x14ac:dyDescent="0.35">
      <c r="C78"/>
      <c r="F78"/>
    </row>
    <row r="79" spans="1:8" x14ac:dyDescent="0.35">
      <c r="C79"/>
      <c r="F79"/>
    </row>
    <row r="80" spans="1:8" x14ac:dyDescent="0.35">
      <c r="C80"/>
      <c r="F80"/>
    </row>
  </sheetData>
  <sheetProtection sheet="1" objects="1" scenarios="1" selectLockedCells="1"/>
  <protectedRanges>
    <protectedRange sqref="B6 F15:F19 F24:F32 C35:C40 F35:F39 C43:C46 F43:F45 F49:F50 C49:C51 C54:C57 F54:F56 G6 C14:C20 C7:C11 F5 F7:F9 C24:C32 G26" name="EntryFormRange"/>
    <protectedRange sqref="C6 C10:C16 G10:G14 C21:C26 G21:G25 C31:C38 G31:G38 C42:C47 G42:G46 C51:C54 G51:G53 G58:G59 C58:C60 C64:C67 G64:G66" name="EditFormRange"/>
  </protectedRanges>
  <mergeCells count="11">
    <mergeCell ref="A49:H49"/>
    <mergeCell ref="A56:H56"/>
    <mergeCell ref="A62:H62"/>
    <mergeCell ref="A69:H69"/>
    <mergeCell ref="A1:H1"/>
    <mergeCell ref="A2:H2"/>
    <mergeCell ref="A4:H4"/>
    <mergeCell ref="A8:H8"/>
    <mergeCell ref="A19:H19"/>
    <mergeCell ref="A29:H29"/>
    <mergeCell ref="A40:H40"/>
  </mergeCells>
  <dataValidations count="8">
    <dataValidation type="list" allowBlank="1" showInputMessage="1" showErrorMessage="1" sqref="C53 G51 C51" xr:uid="{FCBD5004-6394-4202-8641-C8738A1D3FCC}">
      <formula1>"Status[Status]"</formula1>
    </dataValidation>
    <dataValidation type="list" allowBlank="1" showInputMessage="1" showErrorMessage="1" sqref="C11:C12" xr:uid="{9B2DA1C2-AF82-4B9C-A728-BEC30E5229FC}">
      <formula1>_xlfn._LONGTEXT("Pulte Homes,Barb Lesure,Ivana Carson,Rachel Eastwood,Eric Yetzer,Karen/Milka,Kelly/Heidi,Matthew Kalogeras,Karen/Annette,Mark Metz,Rebbecca Tessanne,Ron Ho,Vicky &amp; Beth,Lenny Herbert,Vicky &amp; Beth (Shelly),Debbie Ferrante,Jennifer Ham,Kelly Watts,Amy Frary",",Katrina Heath,Andrew Jenkins,Jerry Lesac,Tim Vanderlaan,Oleg Bosovic,Shelly Booth,Autumn Moore,Brian Leatherman,Cindy McCory,Lila Wohlwend,Amy Marinello,Melissa Steiner,Deb Shreiner,Brenda Verbeka,Christine Conkle,Sonja Halstead")</formula1>
    </dataValidation>
    <dataValidation type="list" allowBlank="1" showInputMessage="1" showErrorMessage="1" sqref="C14" xr:uid="{28CC57CF-E458-4DC6-B4D1-B613020BE8F5}">
      <formula1>"CONV,FHA,VA,Cash,New Const,Eq. Ln,Other"</formula1>
    </dataValidation>
    <dataValidation type="list" allowBlank="1" showInputMessage="1" showErrorMessage="1" sqref="G22" xr:uid="{2517D29A-4D47-4D73-A18F-40C99ED9AD05}">
      <formula1>"HH,Title,CoBroke,Buyer,Seller,N/A"</formula1>
    </dataValidation>
    <dataValidation type="list" allowBlank="1" showInputMessage="1" showErrorMessage="1" sqref="G24 C25:C26" xr:uid="{3373C2ED-2CE5-49C6-908D-A342678B8BF4}">
      <formula1>"Yes,No"</formula1>
    </dataValidation>
    <dataValidation type="list" allowBlank="1" showInputMessage="1" showErrorMessage="1" sqref="G25" xr:uid="{73C7CF31-7048-4710-A0F4-C98DA6FA3628}">
      <formula1>"Seller,Buyer,Split,Other,N/A"</formula1>
    </dataValidation>
    <dataValidation type="list" allowBlank="1" showInputMessage="1" showErrorMessage="1" sqref="C31:C38 G31:G38 C42:C47 G42:G46 C52 C54 G52:G53 C58:C60 G58:G59 C64:C67 G64:G66" xr:uid="{23F80AC4-0E69-4D53-9B45-3E9A11E86C25}">
      <formula1>"Not Started,In Progress,Waiting,Complete,N/A"</formula1>
    </dataValidation>
    <dataValidation type="list" allowBlank="1" showInputMessage="1" showErrorMessage="1" sqref="C6" xr:uid="{8953ABEC-E9B8-417E-AC12-B087F4E6F665}">
      <formula1>INDIRECT("transactionfact[address]")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01" r:id="rId3" name="Button 13">
              <controlPr defaultSize="0" print="0" autoFill="0" autoPict="0" macro="[0]!UpdateTransactionAndChecklistFromEdit">
                <anchor moveWithCells="1" sizeWithCells="1">
                  <from>
                    <xdr:col>8</xdr:col>
                    <xdr:colOff>228600</xdr:colOff>
                    <xdr:row>6</xdr:row>
                    <xdr:rowOff>120650</xdr:rowOff>
                  </from>
                  <to>
                    <xdr:col>63</xdr:col>
                    <xdr:colOff>596900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4" name="Button 14">
              <controlPr defaultSize="0" print="0" autoFill="0" autoPict="0" macro="[0]!ClearEditForm">
                <anchor moveWithCells="1" sizeWithCells="1">
                  <from>
                    <xdr:col>8</xdr:col>
                    <xdr:colOff>222250</xdr:colOff>
                    <xdr:row>11</xdr:row>
                    <xdr:rowOff>101600</xdr:rowOff>
                  </from>
                  <to>
                    <xdr:col>63</xdr:col>
                    <xdr:colOff>558800</xdr:colOff>
                    <xdr:row>15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5B6"/>
  </sheetPr>
  <dimension ref="A1:G37"/>
  <sheetViews>
    <sheetView topLeftCell="B1" workbookViewId="0">
      <selection activeCell="K14" sqref="K14"/>
    </sheetView>
    <sheetView workbookViewId="1">
      <selection sqref="A1:C1"/>
    </sheetView>
  </sheetViews>
  <sheetFormatPr defaultRowHeight="14.5" x14ac:dyDescent="0.35"/>
  <cols>
    <col min="1" max="1" width="14" hidden="1" customWidth="1"/>
    <col min="2" max="2" width="24" customWidth="1"/>
    <col min="3" max="3" width="20" customWidth="1"/>
    <col min="5" max="5" width="14.26953125" bestFit="1" customWidth="1"/>
    <col min="7" max="7" width="10.08984375" bestFit="1" customWidth="1"/>
  </cols>
  <sheetData>
    <row r="1" spans="1:7" ht="32" customHeight="1" x14ac:dyDescent="0.35">
      <c r="A1" s="27" t="s">
        <v>6</v>
      </c>
      <c r="B1" s="26"/>
      <c r="C1" s="26"/>
    </row>
    <row r="2" spans="1:7" x14ac:dyDescent="0.35">
      <c r="A2" s="4" t="s">
        <v>1</v>
      </c>
      <c r="B2" s="4" t="s">
        <v>7</v>
      </c>
      <c r="C2" s="4" t="s">
        <v>8</v>
      </c>
    </row>
    <row r="3" spans="1:7" ht="16" customHeight="1" x14ac:dyDescent="0.35">
      <c r="A3" s="1" t="str">
        <f>LEFT(Agent[[#This Row],[AgentName]],1)&amp;TRIM(RIGHT(SUBSTITUTE(Agent[[#This Row],[AgentName]]," ",REPT(" ",100)),100))</f>
        <v>PHomes</v>
      </c>
      <c r="B3" s="1" t="s">
        <v>9</v>
      </c>
      <c r="C3" s="1" t="s">
        <v>9</v>
      </c>
      <c r="E3" s="28" t="s">
        <v>392</v>
      </c>
      <c r="F3" s="28"/>
      <c r="G3" s="28"/>
    </row>
    <row r="4" spans="1:7" ht="16" customHeight="1" x14ac:dyDescent="0.35">
      <c r="A4" s="2" t="str">
        <f>LEFT(Agent[[#This Row],[AgentName]],1)&amp;TRIM(RIGHT(SUBSTITUTE(Agent[[#This Row],[AgentName]]," ",REPT(" ",100)),100))</f>
        <v>BLesure</v>
      </c>
      <c r="B4" s="2" t="s">
        <v>10</v>
      </c>
      <c r="C4" s="2" t="s">
        <v>11</v>
      </c>
      <c r="E4" s="13" t="s">
        <v>7</v>
      </c>
      <c r="F4" s="13" t="s">
        <v>8</v>
      </c>
      <c r="G4" s="13" t="s">
        <v>393</v>
      </c>
    </row>
    <row r="5" spans="1:7" ht="16" customHeight="1" x14ac:dyDescent="0.35">
      <c r="A5" s="1" t="str">
        <f>LEFT(Agent[[#This Row],[AgentName]],1)&amp;TRIM(RIGHT(SUBSTITUTE(Agent[[#This Row],[AgentName]]," ",REPT(" ",100)),100))</f>
        <v>ICarson</v>
      </c>
      <c r="B5" s="1" t="s">
        <v>12</v>
      </c>
      <c r="C5" s="1" t="s">
        <v>13</v>
      </c>
      <c r="E5" s="230"/>
      <c r="F5" s="230"/>
      <c r="G5" s="13" t="str">
        <f>IF(ISNUMBER(_xlfn.XMATCH(Table7[[#This Row],[AgentName]],Agent[AgentName]))=TRUE,"DUPLICATE","Valid")</f>
        <v>Valid</v>
      </c>
    </row>
    <row r="6" spans="1:7" ht="16" customHeight="1" x14ac:dyDescent="0.35">
      <c r="A6" s="2" t="str">
        <f>LEFT(Agent[[#This Row],[AgentName]],1)&amp;TRIM(RIGHT(SUBSTITUTE(Agent[[#This Row],[AgentName]]," ",REPT(" ",100)),100))</f>
        <v>REastwood</v>
      </c>
      <c r="B6" s="2" t="s">
        <v>14</v>
      </c>
      <c r="C6" s="2" t="s">
        <v>11</v>
      </c>
    </row>
    <row r="7" spans="1:7" ht="16" customHeight="1" x14ac:dyDescent="0.35">
      <c r="A7" s="1" t="str">
        <f>LEFT(Agent[[#This Row],[AgentName]],1)&amp;TRIM(RIGHT(SUBSTITUTE(Agent[[#This Row],[AgentName]]," ",REPT(" ",100)),100))</f>
        <v>EYetzer</v>
      </c>
      <c r="B7" s="1" t="s">
        <v>15</v>
      </c>
      <c r="C7" s="1" t="s">
        <v>11</v>
      </c>
    </row>
    <row r="8" spans="1:7" ht="16" customHeight="1" x14ac:dyDescent="0.35">
      <c r="A8" s="2" t="str">
        <f>LEFT(Agent[[#This Row],[AgentName]],1)&amp;TRIM(RIGHT(SUBSTITUTE(Agent[[#This Row],[AgentName]]," ",REPT(" ",100)),100))</f>
        <v>KKaren/Milka</v>
      </c>
      <c r="B8" s="2" t="s">
        <v>16</v>
      </c>
      <c r="C8" s="2" t="s">
        <v>11</v>
      </c>
    </row>
    <row r="9" spans="1:7" ht="16" customHeight="1" x14ac:dyDescent="0.35">
      <c r="A9" s="1" t="str">
        <f>LEFT(Agent[[#This Row],[AgentName]],1)&amp;TRIM(RIGHT(SUBSTITUTE(Agent[[#This Row],[AgentName]]," ",REPT(" ",100)),100))</f>
        <v>KKelly/Heidi</v>
      </c>
      <c r="B9" s="1" t="s">
        <v>17</v>
      </c>
      <c r="C9" s="1" t="s">
        <v>11</v>
      </c>
    </row>
    <row r="10" spans="1:7" ht="16" customHeight="1" x14ac:dyDescent="0.35">
      <c r="A10" s="2" t="str">
        <f>LEFT(Agent[[#This Row],[AgentName]],1)&amp;TRIM(RIGHT(SUBSTITUTE(Agent[[#This Row],[AgentName]]," ",REPT(" ",100)),100))</f>
        <v>MKalogeras</v>
      </c>
      <c r="B10" s="2" t="s">
        <v>18</v>
      </c>
      <c r="C10" s="2" t="s">
        <v>19</v>
      </c>
    </row>
    <row r="11" spans="1:7" ht="16" customHeight="1" x14ac:dyDescent="0.35">
      <c r="A11" s="1" t="str">
        <f>LEFT(Agent[[#This Row],[AgentName]],1)&amp;TRIM(RIGHT(SUBSTITUTE(Agent[[#This Row],[AgentName]]," ",REPT(" ",100)),100))</f>
        <v>KKaren/Annette</v>
      </c>
      <c r="B11" s="1" t="s">
        <v>20</v>
      </c>
      <c r="C11" s="1" t="s">
        <v>11</v>
      </c>
    </row>
    <row r="12" spans="1:7" ht="16" customHeight="1" x14ac:dyDescent="0.35">
      <c r="A12" s="2" t="str">
        <f>LEFT(Agent[[#This Row],[AgentName]],1)&amp;TRIM(RIGHT(SUBSTITUTE(Agent[[#This Row],[AgentName]]," ",REPT(" ",100)),100))</f>
        <v>MMetz</v>
      </c>
      <c r="B12" s="2" t="s">
        <v>21</v>
      </c>
      <c r="C12" s="2" t="s">
        <v>13</v>
      </c>
    </row>
    <row r="13" spans="1:7" ht="16" customHeight="1" x14ac:dyDescent="0.35">
      <c r="A13" s="1" t="str">
        <f>LEFT(Agent[[#This Row],[AgentName]],1)&amp;TRIM(RIGHT(SUBSTITUTE(Agent[[#This Row],[AgentName]]," ",REPT(" ",100)),100))</f>
        <v>RTessanne</v>
      </c>
      <c r="B13" s="1" t="s">
        <v>22</v>
      </c>
      <c r="C13" s="1" t="s">
        <v>11</v>
      </c>
    </row>
    <row r="14" spans="1:7" ht="16" customHeight="1" x14ac:dyDescent="0.35">
      <c r="A14" s="2" t="str">
        <f>LEFT(Agent[[#This Row],[AgentName]],1)&amp;TRIM(RIGHT(SUBSTITUTE(Agent[[#This Row],[AgentName]]," ",REPT(" ",100)),100))</f>
        <v>RHo</v>
      </c>
      <c r="B14" s="2" t="s">
        <v>23</v>
      </c>
      <c r="C14" s="2" t="s">
        <v>11</v>
      </c>
    </row>
    <row r="15" spans="1:7" ht="16" customHeight="1" x14ac:dyDescent="0.35">
      <c r="A15" s="1" t="str">
        <f>LEFT(Agent[[#This Row],[AgentName]],1)&amp;TRIM(RIGHT(SUBSTITUTE(Agent[[#This Row],[AgentName]]," ",REPT(" ",100)),100))</f>
        <v>VBeth</v>
      </c>
      <c r="B15" s="1" t="s">
        <v>24</v>
      </c>
      <c r="C15" s="1" t="s">
        <v>11</v>
      </c>
    </row>
    <row r="16" spans="1:7" ht="16" customHeight="1" x14ac:dyDescent="0.35">
      <c r="A16" s="2" t="str">
        <f>LEFT(Agent[[#This Row],[AgentName]],1)&amp;TRIM(RIGHT(SUBSTITUTE(Agent[[#This Row],[AgentName]]," ",REPT(" ",100)),100))</f>
        <v>LHerbert</v>
      </c>
      <c r="B16" s="2" t="s">
        <v>25</v>
      </c>
      <c r="C16" s="2" t="s">
        <v>26</v>
      </c>
    </row>
    <row r="17" spans="1:3" ht="16" customHeight="1" x14ac:dyDescent="0.35">
      <c r="A17" s="1" t="str">
        <f>LEFT(Agent[[#This Row],[AgentName]],1)&amp;TRIM(RIGHT(SUBSTITUTE(Agent[[#This Row],[AgentName]]," ",REPT(" ",100)),100))</f>
        <v>V(Shelly)</v>
      </c>
      <c r="B17" s="1" t="s">
        <v>27</v>
      </c>
      <c r="C17" s="1" t="s">
        <v>11</v>
      </c>
    </row>
    <row r="18" spans="1:3" ht="16" customHeight="1" x14ac:dyDescent="0.35">
      <c r="A18" s="2" t="str">
        <f>LEFT(Agent[[#This Row],[AgentName]],1)&amp;TRIM(RIGHT(SUBSTITUTE(Agent[[#This Row],[AgentName]]," ",REPT(" ",100)),100))</f>
        <v>DFerrante</v>
      </c>
      <c r="B18" s="2" t="s">
        <v>28</v>
      </c>
      <c r="C18" s="2" t="s">
        <v>26</v>
      </c>
    </row>
    <row r="19" spans="1:3" ht="16" customHeight="1" x14ac:dyDescent="0.35">
      <c r="A19" s="1" t="str">
        <f>LEFT(Agent[[#This Row],[AgentName]],1)&amp;TRIM(RIGHT(SUBSTITUTE(Agent[[#This Row],[AgentName]]," ",REPT(" ",100)),100))</f>
        <v>JHam</v>
      </c>
      <c r="B19" s="1" t="s">
        <v>29</v>
      </c>
      <c r="C19" s="1" t="s">
        <v>30</v>
      </c>
    </row>
    <row r="20" spans="1:3" ht="16" customHeight="1" x14ac:dyDescent="0.35">
      <c r="A20" s="2" t="str">
        <f>LEFT(Agent[[#This Row],[AgentName]],1)&amp;TRIM(RIGHT(SUBSTITUTE(Agent[[#This Row],[AgentName]]," ",REPT(" ",100)),100))</f>
        <v>KWatts</v>
      </c>
      <c r="B20" s="2" t="s">
        <v>31</v>
      </c>
      <c r="C20" s="2" t="s">
        <v>11</v>
      </c>
    </row>
    <row r="21" spans="1:3" ht="16" customHeight="1" x14ac:dyDescent="0.35">
      <c r="A21" s="1" t="str">
        <f>LEFT(Agent[[#This Row],[AgentName]],1)&amp;TRIM(RIGHT(SUBSTITUTE(Agent[[#This Row],[AgentName]]," ",REPT(" ",100)),100))</f>
        <v>AFrary</v>
      </c>
      <c r="B21" s="1" t="s">
        <v>32</v>
      </c>
      <c r="C21" s="1" t="s">
        <v>11</v>
      </c>
    </row>
    <row r="22" spans="1:3" ht="16" customHeight="1" x14ac:dyDescent="0.35">
      <c r="A22" s="2" t="str">
        <f>LEFT(Agent[[#This Row],[AgentName]],1)&amp;TRIM(RIGHT(SUBSTITUTE(Agent[[#This Row],[AgentName]]," ",REPT(" ",100)),100))</f>
        <v>KHeath</v>
      </c>
      <c r="B22" s="2" t="s">
        <v>33</v>
      </c>
      <c r="C22" s="2" t="s">
        <v>34</v>
      </c>
    </row>
    <row r="23" spans="1:3" ht="16" customHeight="1" x14ac:dyDescent="0.35">
      <c r="A23" s="1" t="str">
        <f>LEFT(Agent[[#This Row],[AgentName]],1)&amp;TRIM(RIGHT(SUBSTITUTE(Agent[[#This Row],[AgentName]]," ",REPT(" ",100)),100))</f>
        <v>AJenkins</v>
      </c>
      <c r="B23" s="1" t="s">
        <v>35</v>
      </c>
      <c r="C23" s="1" t="s">
        <v>13</v>
      </c>
    </row>
    <row r="24" spans="1:3" ht="16" customHeight="1" x14ac:dyDescent="0.35">
      <c r="A24" s="2" t="str">
        <f>LEFT(Agent[[#This Row],[AgentName]],1)&amp;TRIM(RIGHT(SUBSTITUTE(Agent[[#This Row],[AgentName]]," ",REPT(" ",100)),100))</f>
        <v>JLesac</v>
      </c>
      <c r="B24" s="2" t="s">
        <v>36</v>
      </c>
      <c r="C24" s="2" t="s">
        <v>34</v>
      </c>
    </row>
    <row r="25" spans="1:3" ht="16" customHeight="1" x14ac:dyDescent="0.35">
      <c r="A25" s="1" t="str">
        <f>LEFT(Agent[[#This Row],[AgentName]],1)&amp;TRIM(RIGHT(SUBSTITUTE(Agent[[#This Row],[AgentName]]," ",REPT(" ",100)),100))</f>
        <v>TVanderlaan</v>
      </c>
      <c r="B25" s="1" t="s">
        <v>37</v>
      </c>
      <c r="C25" s="1" t="s">
        <v>38</v>
      </c>
    </row>
    <row r="26" spans="1:3" ht="16" customHeight="1" x14ac:dyDescent="0.35">
      <c r="A26" s="2" t="str">
        <f>LEFT(Agent[[#This Row],[AgentName]],1)&amp;TRIM(RIGHT(SUBSTITUTE(Agent[[#This Row],[AgentName]]," ",REPT(" ",100)),100))</f>
        <v>OBosovic</v>
      </c>
      <c r="B26" s="2" t="s">
        <v>39</v>
      </c>
      <c r="C26" s="2" t="s">
        <v>13</v>
      </c>
    </row>
    <row r="27" spans="1:3" ht="16" customHeight="1" x14ac:dyDescent="0.35">
      <c r="A27" s="1" t="str">
        <f>LEFT(Agent[[#This Row],[AgentName]],1)&amp;TRIM(RIGHT(SUBSTITUTE(Agent[[#This Row],[AgentName]]," ",REPT(" ",100)),100))</f>
        <v>SBooth</v>
      </c>
      <c r="B27" s="1" t="s">
        <v>40</v>
      </c>
      <c r="C27" s="1" t="s">
        <v>41</v>
      </c>
    </row>
    <row r="28" spans="1:3" ht="16" customHeight="1" x14ac:dyDescent="0.35">
      <c r="A28" s="2" t="str">
        <f>LEFT(Agent[[#This Row],[AgentName]],1)&amp;TRIM(RIGHT(SUBSTITUTE(Agent[[#This Row],[AgentName]]," ",REPT(" ",100)),100))</f>
        <v>AMoore</v>
      </c>
      <c r="B28" s="2" t="s">
        <v>42</v>
      </c>
      <c r="C28" s="2" t="s">
        <v>13</v>
      </c>
    </row>
    <row r="29" spans="1:3" ht="16" customHeight="1" x14ac:dyDescent="0.35">
      <c r="A29" s="1" t="str">
        <f>LEFT(Agent[[#This Row],[AgentName]],1)&amp;TRIM(RIGHT(SUBSTITUTE(Agent[[#This Row],[AgentName]]," ",REPT(" ",100)),100))</f>
        <v>BLeatherman</v>
      </c>
      <c r="B29" s="1" t="s">
        <v>43</v>
      </c>
      <c r="C29" s="1" t="s">
        <v>44</v>
      </c>
    </row>
    <row r="30" spans="1:3" ht="16" customHeight="1" x14ac:dyDescent="0.35">
      <c r="A30" s="2" t="str">
        <f>LEFT(Agent[[#This Row],[AgentName]],1)&amp;TRIM(RIGHT(SUBSTITUTE(Agent[[#This Row],[AgentName]]," ",REPT(" ",100)),100))</f>
        <v>CMcCory</v>
      </c>
      <c r="B30" s="2" t="s">
        <v>45</v>
      </c>
      <c r="C30" s="2" t="s">
        <v>26</v>
      </c>
    </row>
    <row r="31" spans="1:3" ht="16" customHeight="1" x14ac:dyDescent="0.35">
      <c r="A31" s="1" t="str">
        <f>LEFT(Agent[[#This Row],[AgentName]],1)&amp;TRIM(RIGHT(SUBSTITUTE(Agent[[#This Row],[AgentName]]," ",REPT(" ",100)),100))</f>
        <v>LWohlwend</v>
      </c>
      <c r="B31" s="1" t="s">
        <v>46</v>
      </c>
      <c r="C31" s="1" t="s">
        <v>47</v>
      </c>
    </row>
    <row r="32" spans="1:3" ht="16" customHeight="1" x14ac:dyDescent="0.35">
      <c r="A32" s="2" t="str">
        <f>LEFT(Agent[[#This Row],[AgentName]],1)&amp;TRIM(RIGHT(SUBSTITUTE(Agent[[#This Row],[AgentName]]," ",REPT(" ",100)),100))</f>
        <v>AMarinello</v>
      </c>
      <c r="B32" s="2" t="s">
        <v>48</v>
      </c>
      <c r="C32" s="2" t="s">
        <v>49</v>
      </c>
    </row>
    <row r="33" spans="1:3" ht="16" customHeight="1" x14ac:dyDescent="0.35">
      <c r="A33" s="1" t="str">
        <f>LEFT(Agent[[#This Row],[AgentName]],1)&amp;TRIM(RIGHT(SUBSTITUTE(Agent[[#This Row],[AgentName]]," ",REPT(" ",100)),100))</f>
        <v>MSteiner</v>
      </c>
      <c r="B33" s="1" t="s">
        <v>50</v>
      </c>
      <c r="C33" s="1" t="s">
        <v>13</v>
      </c>
    </row>
    <row r="34" spans="1:3" ht="16" customHeight="1" x14ac:dyDescent="0.35">
      <c r="A34" s="2" t="str">
        <f>LEFT(Agent[[#This Row],[AgentName]],1)&amp;TRIM(RIGHT(SUBSTITUTE(Agent[[#This Row],[AgentName]]," ",REPT(" ",100)),100))</f>
        <v>DShreiner</v>
      </c>
      <c r="B34" s="2" t="s">
        <v>51</v>
      </c>
      <c r="C34" s="2" t="s">
        <v>52</v>
      </c>
    </row>
    <row r="35" spans="1:3" ht="16" customHeight="1" x14ac:dyDescent="0.35">
      <c r="A35" s="1" t="str">
        <f>LEFT(Agent[[#This Row],[AgentName]],1)&amp;TRIM(RIGHT(SUBSTITUTE(Agent[[#This Row],[AgentName]]," ",REPT(" ",100)),100))</f>
        <v>BVerbeka</v>
      </c>
      <c r="B35" s="1" t="s">
        <v>53</v>
      </c>
      <c r="C35" s="1" t="s">
        <v>54</v>
      </c>
    </row>
    <row r="36" spans="1:3" ht="16" customHeight="1" x14ac:dyDescent="0.35">
      <c r="A36" s="2" t="str">
        <f>LEFT(Agent[[#This Row],[AgentName]],1)&amp;TRIM(RIGHT(SUBSTITUTE(Agent[[#This Row],[AgentName]]," ",REPT(" ",100)),100))</f>
        <v>CConkle</v>
      </c>
      <c r="B36" s="2" t="s">
        <v>55</v>
      </c>
      <c r="C36" s="2" t="s">
        <v>56</v>
      </c>
    </row>
    <row r="37" spans="1:3" ht="16" customHeight="1" x14ac:dyDescent="0.35">
      <c r="A37" s="1" t="str">
        <f>LEFT(Agent[[#This Row],[AgentName]],1)&amp;TRIM(RIGHT(SUBSTITUTE(Agent[[#This Row],[AgentName]]," ",REPT(" ",100)),100))</f>
        <v>SHalstead</v>
      </c>
      <c r="B37" s="1" t="s">
        <v>57</v>
      </c>
      <c r="C37" s="1" t="s">
        <v>58</v>
      </c>
    </row>
  </sheetData>
  <sheetProtection selectLockedCells="1"/>
  <mergeCells count="2">
    <mergeCell ref="A1:C1"/>
    <mergeCell ref="E3:G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ddNewAgent">
                <anchor moveWithCells="1" sizeWithCells="1">
                  <from>
                    <xdr:col>4</xdr:col>
                    <xdr:colOff>241300</xdr:colOff>
                    <xdr:row>6</xdr:row>
                    <xdr:rowOff>133350</xdr:rowOff>
                  </from>
                  <to>
                    <xdr:col>6</xdr:col>
                    <xdr:colOff>419100</xdr:colOff>
                    <xdr:row>9</xdr:row>
                    <xdr:rowOff>184150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AAFE1-7A67-478F-9B2E-3113B7F24449}">
  <sheetPr codeName="Sheet5">
    <tabColor rgb="FF4472C4"/>
  </sheetPr>
  <dimension ref="A1:Z30"/>
  <sheetViews>
    <sheetView workbookViewId="0">
      <pane ySplit="5" topLeftCell="A6" activePane="bottomLeft" state="frozen"/>
      <selection pane="bottomLeft" activeCell="H33" sqref="H33"/>
    </sheetView>
    <sheetView tabSelected="1" workbookViewId="1">
      <selection activeCell="B23" sqref="B23"/>
    </sheetView>
  </sheetViews>
  <sheetFormatPr defaultRowHeight="14.5" x14ac:dyDescent="0.35"/>
  <cols>
    <col min="1" max="2" width="16" customWidth="1"/>
    <col min="3" max="3" width="32" customWidth="1"/>
    <col min="4" max="5" width="14" customWidth="1"/>
    <col min="6" max="6" width="18" customWidth="1"/>
    <col min="7" max="10" width="14" customWidth="1"/>
    <col min="11" max="11" width="28" customWidth="1"/>
    <col min="12" max="15" width="22" customWidth="1"/>
    <col min="16" max="16" width="18" customWidth="1"/>
    <col min="17" max="17" width="14" customWidth="1"/>
    <col min="18" max="18" width="18" customWidth="1"/>
    <col min="19" max="19" width="14.453125" customWidth="1"/>
    <col min="20" max="20" width="14" customWidth="1"/>
    <col min="21" max="21" width="10" customWidth="1"/>
    <col min="22" max="22" width="16" customWidth="1"/>
    <col min="23" max="23" width="20" customWidth="1"/>
    <col min="24" max="24" width="14" customWidth="1"/>
    <col min="25" max="25" width="10" customWidth="1"/>
    <col min="26" max="26" width="18" customWidth="1"/>
  </cols>
  <sheetData>
    <row r="1" spans="1:26" ht="30" customHeight="1" x14ac:dyDescent="0.35">
      <c r="A1" s="27" t="s">
        <v>405</v>
      </c>
      <c r="B1" s="27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26" ht="14.5" customHeight="1" x14ac:dyDescent="0.35">
      <c r="A2" s="20" t="s">
        <v>404</v>
      </c>
      <c r="B2" s="20"/>
      <c r="C2" s="31" t="s">
        <v>189</v>
      </c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3" t="s">
        <v>151</v>
      </c>
      <c r="Q2" s="34"/>
      <c r="R2" s="34"/>
      <c r="S2" s="34"/>
      <c r="T2" s="34"/>
      <c r="U2" s="34"/>
      <c r="V2" s="34"/>
      <c r="W2" s="34"/>
      <c r="X2" s="34"/>
      <c r="Y2" s="34"/>
      <c r="Z2" s="35"/>
    </row>
    <row r="4" spans="1:26" ht="20" customHeight="1" x14ac:dyDescent="0.35">
      <c r="A4" s="18" t="s">
        <v>403</v>
      </c>
      <c r="B4" s="18"/>
      <c r="C4" s="18" t="s">
        <v>221</v>
      </c>
      <c r="D4" s="18" t="s">
        <v>222</v>
      </c>
      <c r="E4" s="18" t="s">
        <v>223</v>
      </c>
      <c r="F4" s="18" t="s">
        <v>224</v>
      </c>
      <c r="G4" s="18" t="s">
        <v>225</v>
      </c>
      <c r="H4" s="18" t="s">
        <v>226</v>
      </c>
      <c r="I4" s="18" t="s">
        <v>402</v>
      </c>
      <c r="J4" s="18" t="s">
        <v>196</v>
      </c>
      <c r="K4" s="18" t="s">
        <v>197</v>
      </c>
      <c r="L4" s="18" t="s">
        <v>75</v>
      </c>
      <c r="M4" s="18" t="s">
        <v>227</v>
      </c>
      <c r="N4" s="18" t="s">
        <v>228</v>
      </c>
      <c r="O4" s="18" t="s">
        <v>230</v>
      </c>
      <c r="P4" s="18" t="s">
        <v>234</v>
      </c>
      <c r="Q4" s="18" t="s">
        <v>235</v>
      </c>
      <c r="R4" s="18" t="s">
        <v>236</v>
      </c>
      <c r="S4" s="18" t="s">
        <v>239</v>
      </c>
      <c r="T4" s="18" t="s">
        <v>240</v>
      </c>
      <c r="U4" s="18" t="s">
        <v>401</v>
      </c>
      <c r="V4" s="18" t="s">
        <v>244</v>
      </c>
      <c r="W4" s="18" t="s">
        <v>245</v>
      </c>
      <c r="X4" s="18" t="s">
        <v>246</v>
      </c>
      <c r="Y4" s="18" t="s">
        <v>247</v>
      </c>
      <c r="Z4" s="18" t="s">
        <v>400</v>
      </c>
    </row>
    <row r="5" spans="1:26" ht="16" customHeight="1" x14ac:dyDescent="0.35">
      <c r="A5" s="17" t="s">
        <v>399</v>
      </c>
      <c r="B5" s="17"/>
      <c r="C5" s="17" t="s">
        <v>397</v>
      </c>
      <c r="D5" s="17" t="s">
        <v>397</v>
      </c>
      <c r="E5" s="17" t="s">
        <v>395</v>
      </c>
      <c r="F5" s="17" t="s">
        <v>398</v>
      </c>
      <c r="G5" s="17" t="s">
        <v>398</v>
      </c>
      <c r="H5" s="17" t="s">
        <v>395</v>
      </c>
      <c r="I5" s="17" t="s">
        <v>394</v>
      </c>
      <c r="J5" s="17" t="s">
        <v>397</v>
      </c>
      <c r="K5" s="17" t="s">
        <v>397</v>
      </c>
      <c r="L5" s="17" t="s">
        <v>397</v>
      </c>
      <c r="M5" s="17" t="s">
        <v>397</v>
      </c>
      <c r="N5" s="17" t="s">
        <v>394</v>
      </c>
      <c r="O5" s="17" t="s">
        <v>394</v>
      </c>
      <c r="P5" s="17" t="s">
        <v>395</v>
      </c>
      <c r="Q5" s="17" t="s">
        <v>396</v>
      </c>
      <c r="R5" s="17" t="s">
        <v>396</v>
      </c>
      <c r="S5" s="17" t="s">
        <v>395</v>
      </c>
      <c r="T5" s="17" t="s">
        <v>395</v>
      </c>
      <c r="U5" s="17" t="s">
        <v>394</v>
      </c>
      <c r="V5" s="17" t="s">
        <v>395</v>
      </c>
      <c r="W5" s="17" t="s">
        <v>394</v>
      </c>
      <c r="X5" s="17" t="s">
        <v>394</v>
      </c>
      <c r="Y5" s="17" t="s">
        <v>394</v>
      </c>
      <c r="Z5" s="17" t="s">
        <v>394</v>
      </c>
    </row>
    <row r="6" spans="1:26" ht="28" customHeight="1" x14ac:dyDescent="0.35">
      <c r="A6" s="16" t="s">
        <v>0</v>
      </c>
      <c r="B6" s="16" t="s">
        <v>329</v>
      </c>
      <c r="C6" s="14" t="s">
        <v>190</v>
      </c>
      <c r="D6" s="14" t="s">
        <v>191</v>
      </c>
      <c r="E6" s="14" t="s">
        <v>192</v>
      </c>
      <c r="F6" s="14" t="s">
        <v>193</v>
      </c>
      <c r="G6" s="14" t="s">
        <v>194</v>
      </c>
      <c r="H6" s="14" t="s">
        <v>195</v>
      </c>
      <c r="I6" s="14" t="s">
        <v>2</v>
      </c>
      <c r="J6" s="14" t="s">
        <v>196</v>
      </c>
      <c r="K6" s="14" t="s">
        <v>197</v>
      </c>
      <c r="L6" s="14" t="s">
        <v>198</v>
      </c>
      <c r="M6" s="14" t="s">
        <v>199</v>
      </c>
      <c r="N6" s="14" t="s">
        <v>201</v>
      </c>
      <c r="O6" s="14" t="s">
        <v>203</v>
      </c>
      <c r="P6" s="14" t="s">
        <v>207</v>
      </c>
      <c r="Q6" s="14" t="s">
        <v>208</v>
      </c>
      <c r="R6" s="14" t="s">
        <v>209</v>
      </c>
      <c r="S6" s="14" t="s">
        <v>212</v>
      </c>
      <c r="T6" s="14" t="s">
        <v>213</v>
      </c>
      <c r="U6" s="14" t="s">
        <v>214</v>
      </c>
      <c r="V6" s="14" t="s">
        <v>218</v>
      </c>
      <c r="W6" s="14" t="s">
        <v>3</v>
      </c>
      <c r="X6" s="14" t="s">
        <v>219</v>
      </c>
      <c r="Y6" s="14" t="s">
        <v>220</v>
      </c>
      <c r="Z6" s="14" t="s">
        <v>4</v>
      </c>
    </row>
    <row r="7" spans="1:26" ht="18" customHeight="1" x14ac:dyDescent="0.35">
      <c r="A7" s="65" t="str">
        <f>TEXT(TransactionFact[[#This Row],[ClosingDt]],"yyyy")&amp;"-"&amp;TEXT(ROW()-6,"000")</f>
        <v>2026-001</v>
      </c>
      <c r="B7" s="69">
        <v>46079</v>
      </c>
      <c r="C7" s="70" t="s">
        <v>469</v>
      </c>
      <c r="D7" s="65"/>
      <c r="E7" s="77"/>
      <c r="F7" s="66"/>
      <c r="G7" s="71">
        <v>46096</v>
      </c>
      <c r="H7" s="67">
        <v>617785</v>
      </c>
      <c r="I7" s="70" t="s">
        <v>89</v>
      </c>
      <c r="J7" s="65">
        <v>0</v>
      </c>
      <c r="K7" s="65"/>
      <c r="L7" s="65"/>
      <c r="M7" s="65"/>
      <c r="N7" s="65" t="s">
        <v>9</v>
      </c>
      <c r="O7" s="72" t="s">
        <v>31</v>
      </c>
      <c r="P7" s="73"/>
      <c r="Q7" s="74">
        <v>0.02</v>
      </c>
      <c r="R7" s="74"/>
      <c r="S7" s="75">
        <v>0</v>
      </c>
      <c r="T7" s="76">
        <v>12355.7</v>
      </c>
      <c r="U7" s="72" t="s">
        <v>71</v>
      </c>
      <c r="V7" s="68"/>
      <c r="W7" s="65"/>
      <c r="X7" s="72"/>
      <c r="Y7" s="72"/>
      <c r="Z7" s="65"/>
    </row>
    <row r="8" spans="1:26" x14ac:dyDescent="0.35">
      <c r="A8" s="231" t="str">
        <f>TEXT(TransactionFact[[#This Row],[ClosingDt]],"yyyy")&amp;"-"&amp;TEXT(ROW()-6,"000")</f>
        <v>2026-002</v>
      </c>
      <c r="B8" s="69">
        <v>46079</v>
      </c>
      <c r="C8" s="232" t="s">
        <v>534</v>
      </c>
      <c r="D8" s="56"/>
      <c r="E8" s="233"/>
      <c r="F8" s="58"/>
      <c r="G8" s="71">
        <v>46087</v>
      </c>
      <c r="H8" s="234">
        <v>85500</v>
      </c>
      <c r="I8" s="232" t="s">
        <v>557</v>
      </c>
      <c r="J8" s="56">
        <v>0</v>
      </c>
      <c r="K8" s="56"/>
      <c r="L8" s="56"/>
      <c r="M8" s="56"/>
      <c r="N8" s="56" t="s">
        <v>10</v>
      </c>
      <c r="O8" s="72" t="s">
        <v>23</v>
      </c>
      <c r="P8" s="235">
        <v>2500</v>
      </c>
      <c r="Q8" s="236"/>
      <c r="R8" s="236"/>
      <c r="S8" s="237">
        <v>2000</v>
      </c>
      <c r="T8" s="238">
        <v>500</v>
      </c>
      <c r="U8" s="72" t="s">
        <v>77</v>
      </c>
      <c r="V8" s="56"/>
      <c r="W8" s="56"/>
      <c r="X8" s="72"/>
      <c r="Y8" s="72"/>
      <c r="Z8" s="56"/>
    </row>
    <row r="9" spans="1:26" x14ac:dyDescent="0.35">
      <c r="A9" s="231" t="str">
        <f>TEXT(TransactionFact[[#This Row],[ClosingDt]],"yyyy")&amp;"-"&amp;TEXT(ROW()-6,"000")</f>
        <v>2026-003</v>
      </c>
      <c r="B9" s="69">
        <v>46079</v>
      </c>
      <c r="C9" s="232" t="s">
        <v>535</v>
      </c>
      <c r="D9" s="56"/>
      <c r="E9" s="233"/>
      <c r="F9" s="58"/>
      <c r="G9" s="71">
        <v>46088</v>
      </c>
      <c r="H9" s="234">
        <v>245000</v>
      </c>
      <c r="I9" s="232" t="s">
        <v>557</v>
      </c>
      <c r="J9" s="56">
        <v>0</v>
      </c>
      <c r="K9" s="56"/>
      <c r="L9" s="56"/>
      <c r="M9" s="56"/>
      <c r="N9" s="56" t="s">
        <v>12</v>
      </c>
      <c r="O9" s="72" t="s">
        <v>32</v>
      </c>
      <c r="P9" s="235"/>
      <c r="Q9" s="236">
        <v>0.02</v>
      </c>
      <c r="R9" s="236"/>
      <c r="S9" s="237">
        <v>0</v>
      </c>
      <c r="T9" s="238">
        <v>4900</v>
      </c>
      <c r="U9" s="72" t="s">
        <v>71</v>
      </c>
      <c r="V9" s="56"/>
      <c r="W9" s="56"/>
      <c r="X9" s="72"/>
      <c r="Y9" s="72"/>
      <c r="Z9" s="56"/>
    </row>
    <row r="10" spans="1:26" x14ac:dyDescent="0.35">
      <c r="A10" s="231" t="str">
        <f>TEXT(TransactionFact[[#This Row],[ClosingDt]],"yyyy")&amp;"-"&amp;TEXT(ROW()-6,"000")</f>
        <v>2026-004</v>
      </c>
      <c r="B10" s="69">
        <v>46079</v>
      </c>
      <c r="C10" s="232" t="s">
        <v>536</v>
      </c>
      <c r="D10" s="56"/>
      <c r="E10" s="233"/>
      <c r="F10" s="58"/>
      <c r="G10" s="71">
        <v>46094</v>
      </c>
      <c r="H10" s="234">
        <v>275000</v>
      </c>
      <c r="I10" s="232" t="s">
        <v>73</v>
      </c>
      <c r="J10" s="56">
        <v>0</v>
      </c>
      <c r="K10" s="56"/>
      <c r="L10" s="56"/>
      <c r="M10" s="56"/>
      <c r="N10" s="56" t="s">
        <v>16</v>
      </c>
      <c r="O10" s="72" t="s">
        <v>36</v>
      </c>
      <c r="P10" s="235"/>
      <c r="Q10" s="236">
        <v>0.06</v>
      </c>
      <c r="R10" s="236">
        <v>0.03</v>
      </c>
      <c r="S10" s="237">
        <v>8250</v>
      </c>
      <c r="T10" s="238">
        <v>8250</v>
      </c>
      <c r="U10" s="72" t="s">
        <v>71</v>
      </c>
      <c r="V10" s="56"/>
      <c r="W10" s="56"/>
      <c r="X10" s="72"/>
      <c r="Y10" s="72"/>
      <c r="Z10" s="56"/>
    </row>
    <row r="11" spans="1:26" x14ac:dyDescent="0.35">
      <c r="A11" s="231" t="str">
        <f>TEXT(TransactionFact[[#This Row],[ClosingDt]],"yyyy")&amp;"-"&amp;TEXT(ROW()-6,"000")</f>
        <v>2026-005</v>
      </c>
      <c r="B11" s="69">
        <v>46079</v>
      </c>
      <c r="C11" s="232" t="s">
        <v>537</v>
      </c>
      <c r="D11" s="56"/>
      <c r="E11" s="233"/>
      <c r="F11" s="58"/>
      <c r="G11" s="71">
        <v>46080</v>
      </c>
      <c r="H11" s="234">
        <v>310000</v>
      </c>
      <c r="I11" s="232" t="s">
        <v>67</v>
      </c>
      <c r="J11" s="56">
        <v>600</v>
      </c>
      <c r="K11" s="56"/>
      <c r="L11" s="56"/>
      <c r="M11" s="56"/>
      <c r="N11" s="56" t="s">
        <v>17</v>
      </c>
      <c r="O11" s="72" t="s">
        <v>45</v>
      </c>
      <c r="P11" s="235"/>
      <c r="Q11" s="236">
        <v>5.5E-2</v>
      </c>
      <c r="R11" s="236">
        <v>0.03</v>
      </c>
      <c r="S11" s="237">
        <v>9300</v>
      </c>
      <c r="T11" s="238">
        <v>7750</v>
      </c>
      <c r="U11" s="72" t="s">
        <v>71</v>
      </c>
      <c r="V11" s="56"/>
      <c r="W11" s="56"/>
      <c r="X11" s="72"/>
      <c r="Y11" s="72"/>
      <c r="Z11" s="56"/>
    </row>
    <row r="12" spans="1:26" x14ac:dyDescent="0.35">
      <c r="A12" s="231" t="str">
        <f>TEXT(TransactionFact[[#This Row],[ClosingDt]],"yyyy")&amp;"-"&amp;TEXT(ROW()-6,"000")</f>
        <v>2026-006</v>
      </c>
      <c r="B12" s="69">
        <v>46079</v>
      </c>
      <c r="C12" s="232" t="s">
        <v>538</v>
      </c>
      <c r="D12" s="56"/>
      <c r="E12" s="233"/>
      <c r="F12" s="58"/>
      <c r="G12" s="71">
        <v>46069</v>
      </c>
      <c r="H12" s="234">
        <v>360000</v>
      </c>
      <c r="I12" s="232" t="s">
        <v>67</v>
      </c>
      <c r="J12" s="56">
        <v>0</v>
      </c>
      <c r="K12" s="56"/>
      <c r="L12" s="56"/>
      <c r="M12" s="56"/>
      <c r="N12" s="56" t="s">
        <v>18</v>
      </c>
      <c r="O12" s="72" t="s">
        <v>14</v>
      </c>
      <c r="P12" s="235"/>
      <c r="Q12" s="236">
        <v>0.03</v>
      </c>
      <c r="R12" s="236"/>
      <c r="S12" s="237">
        <v>0</v>
      </c>
      <c r="T12" s="238">
        <v>10800</v>
      </c>
      <c r="U12" s="72" t="s">
        <v>71</v>
      </c>
      <c r="V12" s="56">
        <v>1000</v>
      </c>
      <c r="W12" s="56"/>
      <c r="X12" s="72"/>
      <c r="Y12" s="72"/>
      <c r="Z12" s="56"/>
    </row>
    <row r="13" spans="1:26" x14ac:dyDescent="0.35">
      <c r="A13" s="231" t="str">
        <f>TEXT(TransactionFact[[#This Row],[ClosingDt]],"yyyy")&amp;"-"&amp;TEXT(ROW()-6,"000")</f>
        <v>2026-007</v>
      </c>
      <c r="B13" s="69">
        <v>46079</v>
      </c>
      <c r="C13" s="232" t="s">
        <v>539</v>
      </c>
      <c r="D13" s="56"/>
      <c r="E13" s="233"/>
      <c r="F13" s="58"/>
      <c r="G13" s="71">
        <v>46086</v>
      </c>
      <c r="H13" s="234">
        <v>266000</v>
      </c>
      <c r="I13" s="232" t="s">
        <v>92</v>
      </c>
      <c r="J13" s="56">
        <v>0</v>
      </c>
      <c r="K13" s="56"/>
      <c r="L13" s="56"/>
      <c r="M13" s="56"/>
      <c r="N13" s="56" t="s">
        <v>21</v>
      </c>
      <c r="O13" s="72" t="s">
        <v>16</v>
      </c>
      <c r="P13" s="235"/>
      <c r="Q13" s="236">
        <v>0.03</v>
      </c>
      <c r="R13" s="236"/>
      <c r="S13" s="237">
        <v>0</v>
      </c>
      <c r="T13" s="238">
        <v>7980</v>
      </c>
      <c r="U13" s="72" t="s">
        <v>71</v>
      </c>
      <c r="V13" s="56">
        <v>2000</v>
      </c>
      <c r="W13" s="56"/>
      <c r="X13" s="72"/>
      <c r="Y13" s="72"/>
      <c r="Z13" s="56"/>
    </row>
    <row r="14" spans="1:26" x14ac:dyDescent="0.35">
      <c r="A14" s="231" t="str">
        <f>TEXT(TransactionFact[[#This Row],[ClosingDt]],"yyyy")&amp;"-"&amp;TEXT(ROW()-6,"000")</f>
        <v>2026-008</v>
      </c>
      <c r="B14" s="69">
        <v>46079</v>
      </c>
      <c r="C14" s="232" t="s">
        <v>540</v>
      </c>
      <c r="D14" s="56"/>
      <c r="E14" s="233"/>
      <c r="F14" s="58"/>
      <c r="G14" s="71">
        <v>46080</v>
      </c>
      <c r="H14" s="234">
        <v>193000</v>
      </c>
      <c r="I14" s="232" t="s">
        <v>67</v>
      </c>
      <c r="J14" s="56">
        <v>0</v>
      </c>
      <c r="K14" s="56"/>
      <c r="L14" s="56"/>
      <c r="M14" s="56"/>
      <c r="N14" s="56" t="s">
        <v>15</v>
      </c>
      <c r="O14" s="72" t="s">
        <v>21</v>
      </c>
      <c r="P14" s="235"/>
      <c r="Q14" s="236">
        <v>6.5000000000000002E-2</v>
      </c>
      <c r="R14" s="236">
        <v>3.5000000000000003E-2</v>
      </c>
      <c r="S14" s="237">
        <v>6755.0000000000009</v>
      </c>
      <c r="T14" s="238">
        <v>5790</v>
      </c>
      <c r="U14" s="72" t="s">
        <v>71</v>
      </c>
      <c r="V14" s="56"/>
      <c r="W14" s="56"/>
      <c r="X14" s="72"/>
      <c r="Y14" s="72"/>
      <c r="Z14" s="56"/>
    </row>
    <row r="15" spans="1:26" x14ac:dyDescent="0.35">
      <c r="A15" s="231" t="str">
        <f>TEXT(TransactionFact[[#This Row],[ClosingDt]],"yyyy")&amp;"-"&amp;TEXT(ROW()-6,"000")</f>
        <v>2026-009</v>
      </c>
      <c r="B15" s="69">
        <v>46079</v>
      </c>
      <c r="C15" s="232" t="s">
        <v>541</v>
      </c>
      <c r="D15" s="56"/>
      <c r="E15" s="233"/>
      <c r="F15" s="58"/>
      <c r="G15" s="71">
        <v>46092</v>
      </c>
      <c r="H15" s="234">
        <v>315000</v>
      </c>
      <c r="I15" s="232" t="s">
        <v>557</v>
      </c>
      <c r="J15" s="56">
        <v>0.02</v>
      </c>
      <c r="K15" s="56"/>
      <c r="L15" s="56"/>
      <c r="M15" s="56"/>
      <c r="N15" s="56" t="s">
        <v>22</v>
      </c>
      <c r="O15" s="72" t="s">
        <v>39</v>
      </c>
      <c r="P15" s="235"/>
      <c r="Q15" s="236">
        <v>4.5999999999999999E-2</v>
      </c>
      <c r="R15" s="236">
        <v>2.5999999999999999E-2</v>
      </c>
      <c r="S15" s="237">
        <v>8190</v>
      </c>
      <c r="T15" s="238">
        <v>6300</v>
      </c>
      <c r="U15" s="72" t="s">
        <v>71</v>
      </c>
      <c r="V15" s="56"/>
      <c r="W15" s="56"/>
      <c r="X15" s="72"/>
      <c r="Y15" s="72"/>
      <c r="Z15" s="56"/>
    </row>
    <row r="16" spans="1:26" x14ac:dyDescent="0.35">
      <c r="A16" s="231" t="str">
        <f>TEXT(TransactionFact[[#This Row],[ClosingDt]],"yyyy")&amp;"-"&amp;TEXT(ROW()-6,"000")</f>
        <v>2026-010</v>
      </c>
      <c r="B16" s="69">
        <v>46079</v>
      </c>
      <c r="C16" s="232" t="s">
        <v>542</v>
      </c>
      <c r="D16" s="56"/>
      <c r="E16" s="233"/>
      <c r="F16" s="58"/>
      <c r="G16" s="71">
        <v>46119</v>
      </c>
      <c r="H16" s="234">
        <v>365000</v>
      </c>
      <c r="I16" s="232" t="s">
        <v>67</v>
      </c>
      <c r="J16" s="56">
        <v>0</v>
      </c>
      <c r="K16" s="56"/>
      <c r="L16" s="56"/>
      <c r="M16" s="56"/>
      <c r="N16" s="56" t="s">
        <v>15</v>
      </c>
      <c r="O16" s="72" t="s">
        <v>40</v>
      </c>
      <c r="P16" s="235"/>
      <c r="Q16" s="236">
        <v>0.06</v>
      </c>
      <c r="R16" s="236">
        <v>0.03</v>
      </c>
      <c r="S16" s="237">
        <v>10950</v>
      </c>
      <c r="T16" s="238">
        <v>10950</v>
      </c>
      <c r="U16" s="72" t="s">
        <v>77</v>
      </c>
      <c r="V16" s="56"/>
      <c r="W16" s="56"/>
      <c r="X16" s="72"/>
      <c r="Y16" s="72"/>
      <c r="Z16" s="56"/>
    </row>
    <row r="17" spans="1:26" x14ac:dyDescent="0.35">
      <c r="A17" s="231" t="str">
        <f>TEXT(TransactionFact[[#This Row],[ClosingDt]],"yyyy")&amp;"-"&amp;TEXT(ROW()-6,"000")</f>
        <v>2026-011</v>
      </c>
      <c r="B17" s="69">
        <v>46079</v>
      </c>
      <c r="C17" s="232" t="s">
        <v>543</v>
      </c>
      <c r="D17" s="56"/>
      <c r="E17" s="233"/>
      <c r="F17" s="58"/>
      <c r="G17" s="71">
        <v>46087</v>
      </c>
      <c r="H17" s="234">
        <v>235000</v>
      </c>
      <c r="I17" s="232" t="s">
        <v>73</v>
      </c>
      <c r="J17" s="56">
        <v>5000</v>
      </c>
      <c r="K17" s="56"/>
      <c r="L17" s="56"/>
      <c r="M17" s="56"/>
      <c r="N17" s="56" t="s">
        <v>23</v>
      </c>
      <c r="O17" s="72" t="s">
        <v>42</v>
      </c>
      <c r="P17" s="235"/>
      <c r="Q17" s="236">
        <v>0.06</v>
      </c>
      <c r="R17" s="236"/>
      <c r="S17" s="237">
        <v>0</v>
      </c>
      <c r="T17" s="238">
        <v>14100</v>
      </c>
      <c r="U17" s="72" t="s">
        <v>71</v>
      </c>
      <c r="V17" s="56"/>
      <c r="W17" s="56"/>
      <c r="X17" s="72"/>
      <c r="Y17" s="72"/>
      <c r="Z17" s="56"/>
    </row>
    <row r="18" spans="1:26" x14ac:dyDescent="0.35">
      <c r="A18" s="231" t="str">
        <f>TEXT(TransactionFact[[#This Row],[ClosingDt]],"yyyy")&amp;"-"&amp;TEXT(ROW()-6,"000")</f>
        <v>2026-012</v>
      </c>
      <c r="B18" s="69">
        <v>46079</v>
      </c>
      <c r="C18" s="232" t="s">
        <v>544</v>
      </c>
      <c r="D18" s="56"/>
      <c r="E18" s="233"/>
      <c r="F18" s="58"/>
      <c r="G18" s="71">
        <v>46097</v>
      </c>
      <c r="H18" s="234">
        <v>256000</v>
      </c>
      <c r="I18" s="232" t="s">
        <v>67</v>
      </c>
      <c r="J18" s="56">
        <v>0</v>
      </c>
      <c r="K18" s="56"/>
      <c r="L18" s="56"/>
      <c r="M18" s="56"/>
      <c r="N18" s="56" t="s">
        <v>24</v>
      </c>
      <c r="O18" s="72" t="s">
        <v>24</v>
      </c>
      <c r="P18" s="235"/>
      <c r="Q18" s="236">
        <v>0.04</v>
      </c>
      <c r="R18" s="236">
        <v>2.5000000000000001E-2</v>
      </c>
      <c r="S18" s="237">
        <v>6400</v>
      </c>
      <c r="T18" s="238">
        <v>3840</v>
      </c>
      <c r="U18" s="72" t="s">
        <v>71</v>
      </c>
      <c r="V18" s="56"/>
      <c r="W18" s="56"/>
      <c r="X18" s="72"/>
      <c r="Y18" s="72"/>
      <c r="Z18" s="56"/>
    </row>
    <row r="19" spans="1:26" x14ac:dyDescent="0.35">
      <c r="A19" s="231" t="str">
        <f>TEXT(TransactionFact[[#This Row],[ClosingDt]],"yyyy")&amp;"-"&amp;TEXT(ROW()-6,"000")</f>
        <v>2026-013</v>
      </c>
      <c r="B19" s="69">
        <v>46079</v>
      </c>
      <c r="C19" s="232" t="s">
        <v>545</v>
      </c>
      <c r="D19" s="56"/>
      <c r="E19" s="233"/>
      <c r="F19" s="58"/>
      <c r="G19" s="71">
        <v>46079</v>
      </c>
      <c r="H19" s="234">
        <v>330000</v>
      </c>
      <c r="I19" s="232" t="s">
        <v>73</v>
      </c>
      <c r="J19" s="56">
        <v>0.03</v>
      </c>
      <c r="K19" s="56"/>
      <c r="L19" s="56"/>
      <c r="M19" s="56"/>
      <c r="N19" s="56" t="s">
        <v>25</v>
      </c>
      <c r="O19" s="72" t="s">
        <v>27</v>
      </c>
      <c r="P19" s="235"/>
      <c r="Q19" s="236">
        <v>0.02</v>
      </c>
      <c r="R19" s="236"/>
      <c r="S19" s="237">
        <v>0</v>
      </c>
      <c r="T19" s="238">
        <v>6600</v>
      </c>
      <c r="U19" s="72" t="s">
        <v>71</v>
      </c>
      <c r="V19" s="56">
        <v>1000</v>
      </c>
      <c r="W19" s="56"/>
      <c r="X19" s="72"/>
      <c r="Y19" s="72"/>
      <c r="Z19" s="56"/>
    </row>
    <row r="20" spans="1:26" x14ac:dyDescent="0.35">
      <c r="A20" s="231" t="str">
        <f>TEXT(TransactionFact[[#This Row],[ClosingDt]],"yyyy")&amp;"-"&amp;TEXT(ROW()-6,"000")</f>
        <v>2026-014</v>
      </c>
      <c r="B20" s="69">
        <v>46079</v>
      </c>
      <c r="C20" s="232" t="s">
        <v>546</v>
      </c>
      <c r="D20" s="56"/>
      <c r="E20" s="233"/>
      <c r="F20" s="58"/>
      <c r="G20" s="71">
        <v>46094</v>
      </c>
      <c r="H20" s="234">
        <v>168000</v>
      </c>
      <c r="I20" s="232" t="s">
        <v>67</v>
      </c>
      <c r="J20" s="56">
        <v>2500</v>
      </c>
      <c r="K20" s="56"/>
      <c r="L20" s="56"/>
      <c r="M20" s="56"/>
      <c r="N20" s="56" t="s">
        <v>15</v>
      </c>
      <c r="O20" s="72" t="s">
        <v>43</v>
      </c>
      <c r="P20" s="235"/>
      <c r="Q20" s="236">
        <v>6.5000000000000002E-2</v>
      </c>
      <c r="R20" s="236">
        <v>3.5000000000000003E-2</v>
      </c>
      <c r="S20" s="237">
        <v>5880.0000000000009</v>
      </c>
      <c r="T20" s="238">
        <v>5040</v>
      </c>
      <c r="U20" s="72" t="s">
        <v>71</v>
      </c>
      <c r="V20" s="56"/>
      <c r="W20" s="56"/>
      <c r="X20" s="72"/>
      <c r="Y20" s="72"/>
      <c r="Z20" s="56"/>
    </row>
    <row r="21" spans="1:26" x14ac:dyDescent="0.35">
      <c r="A21" s="231" t="str">
        <f>TEXT(TransactionFact[[#This Row],[ClosingDt]],"yyyy")&amp;"-"&amp;TEXT(ROW()-6,"000")</f>
        <v>2026-015</v>
      </c>
      <c r="B21" s="69">
        <v>46079</v>
      </c>
      <c r="C21" s="232" t="s">
        <v>547</v>
      </c>
      <c r="D21" s="56"/>
      <c r="E21" s="233"/>
      <c r="F21" s="58"/>
      <c r="G21" s="71">
        <v>46101</v>
      </c>
      <c r="H21" s="234">
        <v>230000</v>
      </c>
      <c r="I21" s="232" t="s">
        <v>67</v>
      </c>
      <c r="J21" s="56">
        <v>6000</v>
      </c>
      <c r="K21" s="56"/>
      <c r="L21" s="56"/>
      <c r="M21" s="56"/>
      <c r="N21" s="56" t="s">
        <v>27</v>
      </c>
      <c r="O21" s="72" t="s">
        <v>45</v>
      </c>
      <c r="P21" s="235"/>
      <c r="Q21" s="236">
        <v>0.03</v>
      </c>
      <c r="R21" s="236">
        <v>0.01</v>
      </c>
      <c r="S21" s="237">
        <v>2300</v>
      </c>
      <c r="T21" s="238">
        <v>4600</v>
      </c>
      <c r="U21" s="72" t="s">
        <v>71</v>
      </c>
      <c r="V21" s="56"/>
      <c r="W21" s="56"/>
      <c r="X21" s="72"/>
      <c r="Y21" s="72"/>
      <c r="Z21" s="56"/>
    </row>
    <row r="22" spans="1:26" x14ac:dyDescent="0.35">
      <c r="A22" s="231" t="str">
        <f>TEXT(TransactionFact[[#This Row],[ClosingDt]],"yyyy")&amp;"-"&amp;TEXT(ROW()-6,"000")</f>
        <v>2026-016</v>
      </c>
      <c r="B22" s="69">
        <v>46079</v>
      </c>
      <c r="C22" s="232" t="s">
        <v>548</v>
      </c>
      <c r="D22" s="56"/>
      <c r="E22" s="233"/>
      <c r="F22" s="58"/>
      <c r="G22" s="71">
        <v>46085</v>
      </c>
      <c r="H22" s="234">
        <v>541000</v>
      </c>
      <c r="I22" s="232" t="s">
        <v>67</v>
      </c>
      <c r="J22" s="56">
        <v>0</v>
      </c>
      <c r="K22" s="56"/>
      <c r="L22" s="56"/>
      <c r="M22" s="56"/>
      <c r="N22" s="56" t="s">
        <v>28</v>
      </c>
      <c r="O22" s="72" t="s">
        <v>15</v>
      </c>
      <c r="P22" s="235"/>
      <c r="Q22" s="236">
        <v>0.02</v>
      </c>
      <c r="R22" s="236"/>
      <c r="S22" s="237">
        <v>0</v>
      </c>
      <c r="T22" s="238">
        <v>10820</v>
      </c>
      <c r="U22" s="72" t="s">
        <v>71</v>
      </c>
      <c r="V22" s="56">
        <v>3000</v>
      </c>
      <c r="W22" s="56"/>
      <c r="X22" s="72"/>
      <c r="Y22" s="72"/>
      <c r="Z22" s="56"/>
    </row>
    <row r="23" spans="1:26" x14ac:dyDescent="0.35">
      <c r="A23" s="231" t="str">
        <f>TEXT(TransactionFact[[#This Row],[ClosingDt]],"yyyy")&amp;"-"&amp;TEXT(ROW()-6,"000")</f>
        <v>2026-017</v>
      </c>
      <c r="B23" s="69">
        <v>46079</v>
      </c>
      <c r="C23" s="232" t="s">
        <v>549</v>
      </c>
      <c r="D23" s="56"/>
      <c r="E23" s="233"/>
      <c r="F23" s="58"/>
      <c r="G23" s="71">
        <v>46080</v>
      </c>
      <c r="H23" s="234">
        <v>67000</v>
      </c>
      <c r="I23" s="232" t="s">
        <v>557</v>
      </c>
      <c r="J23" s="56">
        <v>0</v>
      </c>
      <c r="K23" s="56"/>
      <c r="L23" s="56"/>
      <c r="M23" s="56"/>
      <c r="N23" s="56" t="s">
        <v>27</v>
      </c>
      <c r="O23" s="72" t="s">
        <v>46</v>
      </c>
      <c r="P23" s="235"/>
      <c r="Q23" s="236">
        <v>0.04</v>
      </c>
      <c r="R23" s="236"/>
      <c r="S23" s="237">
        <v>0</v>
      </c>
      <c r="T23" s="238">
        <v>2680</v>
      </c>
      <c r="U23" s="72" t="s">
        <v>71</v>
      </c>
      <c r="V23" s="56"/>
      <c r="W23" s="56"/>
      <c r="X23" s="72"/>
      <c r="Y23" s="72"/>
      <c r="Z23" s="56"/>
    </row>
    <row r="24" spans="1:26" x14ac:dyDescent="0.35">
      <c r="A24" s="231" t="str">
        <f>TEXT(TransactionFact[[#This Row],[ClosingDt]],"yyyy")&amp;"-"&amp;TEXT(ROW()-6,"000")</f>
        <v>2026-018</v>
      </c>
      <c r="B24" s="69">
        <v>46079</v>
      </c>
      <c r="C24" s="232" t="s">
        <v>550</v>
      </c>
      <c r="D24" s="56"/>
      <c r="E24" s="233"/>
      <c r="F24" s="58"/>
      <c r="G24" s="71">
        <v>46093</v>
      </c>
      <c r="H24" s="234">
        <v>200000</v>
      </c>
      <c r="I24" s="232" t="s">
        <v>557</v>
      </c>
      <c r="J24" s="56">
        <v>0</v>
      </c>
      <c r="K24" s="56"/>
      <c r="L24" s="56"/>
      <c r="M24" s="56"/>
      <c r="N24" s="56" t="s">
        <v>29</v>
      </c>
      <c r="O24" s="72" t="s">
        <v>10</v>
      </c>
      <c r="P24" s="235"/>
      <c r="Q24" s="236">
        <v>2.5000000000000001E-2</v>
      </c>
      <c r="R24" s="236"/>
      <c r="S24" s="237">
        <v>0</v>
      </c>
      <c r="T24" s="238">
        <v>5000</v>
      </c>
      <c r="U24" s="72" t="s">
        <v>71</v>
      </c>
      <c r="V24" s="56">
        <v>1000</v>
      </c>
      <c r="W24" s="56"/>
      <c r="X24" s="72"/>
      <c r="Y24" s="72"/>
      <c r="Z24" s="56"/>
    </row>
    <row r="25" spans="1:26" x14ac:dyDescent="0.35">
      <c r="A25" s="231" t="str">
        <f>TEXT(TransactionFact[[#This Row],[ClosingDt]],"yyyy")&amp;"-"&amp;TEXT(ROW()-6,"000")</f>
        <v>2026-019</v>
      </c>
      <c r="B25" s="69">
        <v>46079</v>
      </c>
      <c r="C25" s="232" t="s">
        <v>551</v>
      </c>
      <c r="D25" s="56"/>
      <c r="E25" s="233">
        <v>335000</v>
      </c>
      <c r="F25" s="58">
        <v>46066</v>
      </c>
      <c r="G25" s="71">
        <v>46101</v>
      </c>
      <c r="H25" s="234">
        <v>325000</v>
      </c>
      <c r="I25" s="232" t="s">
        <v>79</v>
      </c>
      <c r="J25" s="56">
        <v>0</v>
      </c>
      <c r="K25" s="56"/>
      <c r="L25" s="56"/>
      <c r="M25" s="56" t="s">
        <v>563</v>
      </c>
      <c r="N25" s="56" t="s">
        <v>48</v>
      </c>
      <c r="O25" s="72" t="s">
        <v>17</v>
      </c>
      <c r="P25" s="235"/>
      <c r="Q25" s="236">
        <v>0.02</v>
      </c>
      <c r="R25" s="236"/>
      <c r="S25" s="237"/>
      <c r="T25" s="238">
        <v>6500</v>
      </c>
      <c r="U25" s="72" t="s">
        <v>71</v>
      </c>
      <c r="V25" s="56"/>
      <c r="W25" s="56" t="s">
        <v>74</v>
      </c>
      <c r="X25" s="72" t="s">
        <v>77</v>
      </c>
      <c r="Y25" s="72" t="s">
        <v>77</v>
      </c>
      <c r="Z25" s="56" t="s">
        <v>88</v>
      </c>
    </row>
    <row r="26" spans="1:26" x14ac:dyDescent="0.35">
      <c r="A26" s="231" t="str">
        <f>TEXT(TransactionFact[[#This Row],[ClosingDt]],"yyyy")&amp;"-"&amp;TEXT(ROW()-6,"000")</f>
        <v>2026-020</v>
      </c>
      <c r="B26" s="69">
        <v>46079</v>
      </c>
      <c r="C26" s="232" t="s">
        <v>552</v>
      </c>
      <c r="D26" s="56"/>
      <c r="E26" s="233">
        <v>34900</v>
      </c>
      <c r="F26" s="58">
        <v>46071</v>
      </c>
      <c r="G26" s="71">
        <v>46084</v>
      </c>
      <c r="H26" s="234">
        <v>30000</v>
      </c>
      <c r="I26" s="232" t="s">
        <v>557</v>
      </c>
      <c r="J26" s="56">
        <v>0</v>
      </c>
      <c r="K26" s="56"/>
      <c r="L26" s="56" t="s">
        <v>558</v>
      </c>
      <c r="M26" s="56"/>
      <c r="N26" s="56" t="s">
        <v>24</v>
      </c>
      <c r="O26" s="72" t="s">
        <v>50</v>
      </c>
      <c r="P26" s="235">
        <v>4000</v>
      </c>
      <c r="Q26" s="236"/>
      <c r="R26" s="236"/>
      <c r="S26" s="237">
        <v>2500</v>
      </c>
      <c r="T26" s="238">
        <v>1500</v>
      </c>
      <c r="U26" s="72" t="s">
        <v>77</v>
      </c>
      <c r="V26" s="56"/>
      <c r="W26" s="56"/>
      <c r="X26" s="72" t="s">
        <v>77</v>
      </c>
      <c r="Y26" s="72" t="s">
        <v>77</v>
      </c>
      <c r="Z26" s="56" t="s">
        <v>88</v>
      </c>
    </row>
    <row r="27" spans="1:26" x14ac:dyDescent="0.35">
      <c r="A27" s="231" t="str">
        <f>TEXT(TransactionFact[[#This Row],[ClosingDt]],"yyyy")&amp;"-"&amp;TEXT(ROW()-6,"000")</f>
        <v>2026-021</v>
      </c>
      <c r="B27" s="69">
        <v>46079</v>
      </c>
      <c r="C27" s="232" t="s">
        <v>553</v>
      </c>
      <c r="D27" s="56"/>
      <c r="E27" s="233">
        <v>134900</v>
      </c>
      <c r="F27" s="58">
        <v>46070</v>
      </c>
      <c r="G27" s="71">
        <v>46100</v>
      </c>
      <c r="H27" s="234">
        <v>134900</v>
      </c>
      <c r="I27" s="232" t="s">
        <v>67</v>
      </c>
      <c r="J27" s="56">
        <v>0</v>
      </c>
      <c r="K27" s="56"/>
      <c r="L27" s="56" t="s">
        <v>559</v>
      </c>
      <c r="M27" s="56" t="s">
        <v>564</v>
      </c>
      <c r="N27" s="56" t="s">
        <v>31</v>
      </c>
      <c r="O27" s="72" t="s">
        <v>51</v>
      </c>
      <c r="P27" s="235">
        <v>7070.5</v>
      </c>
      <c r="Q27" s="236"/>
      <c r="R27" s="236"/>
      <c r="S27" s="237">
        <v>3372.5</v>
      </c>
      <c r="T27" s="238">
        <v>3698</v>
      </c>
      <c r="U27" s="72" t="s">
        <v>71</v>
      </c>
      <c r="V27" s="56"/>
      <c r="W27" s="56" t="s">
        <v>74</v>
      </c>
      <c r="X27" s="72" t="s">
        <v>77</v>
      </c>
      <c r="Y27" s="72" t="s">
        <v>77</v>
      </c>
      <c r="Z27" s="56" t="s">
        <v>88</v>
      </c>
    </row>
    <row r="28" spans="1:26" x14ac:dyDescent="0.35">
      <c r="A28" s="231" t="str">
        <f>TEXT(TransactionFact[[#This Row],[ClosingDt]],"yyyy")&amp;"-"&amp;TEXT(ROW()-6,"000")</f>
        <v>2026-022</v>
      </c>
      <c r="B28" s="69">
        <v>46079</v>
      </c>
      <c r="C28" s="232" t="s">
        <v>554</v>
      </c>
      <c r="D28" s="56">
        <v>3203612</v>
      </c>
      <c r="E28" s="233">
        <v>105000</v>
      </c>
      <c r="F28" s="58">
        <v>46075</v>
      </c>
      <c r="G28" s="71">
        <v>46108</v>
      </c>
      <c r="H28" s="234">
        <v>108000</v>
      </c>
      <c r="I28" s="232" t="s">
        <v>73</v>
      </c>
      <c r="J28" s="56">
        <v>5500</v>
      </c>
      <c r="K28" s="56"/>
      <c r="L28" s="56" t="s">
        <v>560</v>
      </c>
      <c r="M28" s="56"/>
      <c r="N28" s="56" t="s">
        <v>10</v>
      </c>
      <c r="O28" s="72" t="s">
        <v>53</v>
      </c>
      <c r="P28" s="235">
        <v>0</v>
      </c>
      <c r="Q28" s="236">
        <v>7.0000000000000007E-2</v>
      </c>
      <c r="R28" s="236">
        <v>4.4999999999999998E-2</v>
      </c>
      <c r="S28" s="237">
        <v>4860</v>
      </c>
      <c r="T28" s="238">
        <v>2700</v>
      </c>
      <c r="U28" s="72" t="s">
        <v>71</v>
      </c>
      <c r="V28" s="56">
        <v>500</v>
      </c>
      <c r="W28" s="56" t="s">
        <v>11</v>
      </c>
      <c r="X28" s="72" t="s">
        <v>71</v>
      </c>
      <c r="Y28" s="72" t="s">
        <v>71</v>
      </c>
      <c r="Z28" s="56" t="s">
        <v>76</v>
      </c>
    </row>
    <row r="29" spans="1:26" x14ac:dyDescent="0.35">
      <c r="A29" s="231" t="str">
        <f>TEXT(TransactionFact[[#This Row],[ClosingDt]],"yyyy")&amp;"-"&amp;TEXT(ROW()-6,"000")</f>
        <v>2026-023</v>
      </c>
      <c r="B29" s="69">
        <v>46079</v>
      </c>
      <c r="C29" s="232" t="s">
        <v>555</v>
      </c>
      <c r="D29" s="56">
        <v>3205909</v>
      </c>
      <c r="E29" s="233">
        <v>199900</v>
      </c>
      <c r="F29" s="58">
        <v>46076</v>
      </c>
      <c r="G29" s="71">
        <v>46118</v>
      </c>
      <c r="H29" s="234">
        <v>185500</v>
      </c>
      <c r="I29" s="232" t="s">
        <v>67</v>
      </c>
      <c r="J29" s="56">
        <v>5500</v>
      </c>
      <c r="K29" s="56"/>
      <c r="L29" s="56" t="s">
        <v>561</v>
      </c>
      <c r="M29" s="56" t="s">
        <v>565</v>
      </c>
      <c r="N29" s="56" t="s">
        <v>24</v>
      </c>
      <c r="O29" s="72" t="s">
        <v>55</v>
      </c>
      <c r="P29" s="235">
        <v>0</v>
      </c>
      <c r="Q29" s="236">
        <v>0.05</v>
      </c>
      <c r="R29" s="236">
        <v>0.03</v>
      </c>
      <c r="S29" s="237">
        <v>5565</v>
      </c>
      <c r="T29" s="238">
        <v>3710</v>
      </c>
      <c r="U29" s="72" t="s">
        <v>71</v>
      </c>
      <c r="V29" s="56">
        <v>1000</v>
      </c>
      <c r="W29" s="56" t="s">
        <v>87</v>
      </c>
      <c r="X29" s="72" t="s">
        <v>71</v>
      </c>
      <c r="Y29" s="72" t="s">
        <v>71</v>
      </c>
      <c r="Z29" s="56" t="s">
        <v>70</v>
      </c>
    </row>
    <row r="30" spans="1:26" x14ac:dyDescent="0.35">
      <c r="A30" s="231" t="str">
        <f>TEXT(TransactionFact[[#This Row],[ClosingDt]],"yyyy")&amp;"-"&amp;TEXT(ROW()-6,"000")</f>
        <v>2026-024</v>
      </c>
      <c r="B30" s="69">
        <v>46079</v>
      </c>
      <c r="C30" s="232" t="s">
        <v>556</v>
      </c>
      <c r="D30" s="56"/>
      <c r="E30" s="233">
        <v>189900</v>
      </c>
      <c r="F30" s="58">
        <v>46075</v>
      </c>
      <c r="G30" s="71">
        <v>46115</v>
      </c>
      <c r="H30" s="234">
        <v>200000</v>
      </c>
      <c r="I30" s="232" t="s">
        <v>67</v>
      </c>
      <c r="J30" s="56">
        <v>0</v>
      </c>
      <c r="K30" s="56"/>
      <c r="L30" s="56" t="s">
        <v>562</v>
      </c>
      <c r="M30" s="56" t="s">
        <v>566</v>
      </c>
      <c r="N30" s="56" t="s">
        <v>57</v>
      </c>
      <c r="O30" s="72" t="s">
        <v>22</v>
      </c>
      <c r="P30" s="235">
        <v>0</v>
      </c>
      <c r="Q30" s="236">
        <v>0</v>
      </c>
      <c r="R30" s="236">
        <v>0</v>
      </c>
      <c r="S30" s="237">
        <v>0</v>
      </c>
      <c r="T30" s="238">
        <v>5000</v>
      </c>
      <c r="U30" s="72" t="s">
        <v>71</v>
      </c>
      <c r="V30" s="56">
        <v>1000</v>
      </c>
      <c r="W30" s="56" t="s">
        <v>11</v>
      </c>
      <c r="X30" s="72" t="s">
        <v>77</v>
      </c>
      <c r="Y30" s="72" t="s">
        <v>77</v>
      </c>
      <c r="Z30" s="56" t="s">
        <v>88</v>
      </c>
    </row>
  </sheetData>
  <mergeCells count="3">
    <mergeCell ref="A1:Z1"/>
    <mergeCell ref="C2:O2"/>
    <mergeCell ref="P2:Z2"/>
  </mergeCells>
  <dataValidations count="5">
    <dataValidation type="list" allowBlank="1" showInputMessage="1" showErrorMessage="1" sqref="I7:I30" xr:uid="{94148E1E-692A-40C1-9344-5CDA7CF9EE5B}">
      <formula1>INDIRECT("LoanType[Loan Type]")</formula1>
    </dataValidation>
    <dataValidation type="list" allowBlank="1" showInputMessage="1" showErrorMessage="1" sqref="N7:O30" xr:uid="{C92BC630-71F4-4967-B1F8-62ED852F3945}">
      <formula1>INDIRECT("Agent[AgentName]")</formula1>
    </dataValidation>
    <dataValidation type="list" allowBlank="1" showInputMessage="1" showErrorMessage="1" sqref="U7:U30 X7:Y30" xr:uid="{8A369B57-6ADA-4473-BD8B-CB0AF2A16D68}">
      <formula1>INDIRECT("YN[YN]")</formula1>
    </dataValidation>
    <dataValidation type="list" allowBlank="1" showInputMessage="1" showErrorMessage="1" sqref="W7:W30" xr:uid="{DAA04E7E-6CCB-4962-BE3B-3CA76EB0AAB7}">
      <formula1>INDIRECT("EMHold[EMHold]")</formula1>
    </dataValidation>
    <dataValidation type="list" allowBlank="1" showInputMessage="1" showErrorMessage="1" sqref="Z7:Z30" xr:uid="{69F903C4-D7BA-4E0C-A0A4-FB8766979CF1}">
      <formula1>INDIRECT("HWPay[HWPay]")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284C1-2CE9-4F85-98F4-132C93190D23}">
  <sheetPr codeName="Sheet6">
    <tabColor rgb="FF4472C4"/>
  </sheetPr>
  <dimension ref="A1:Y30"/>
  <sheetViews>
    <sheetView workbookViewId="0">
      <pane ySplit="5" topLeftCell="A6" activePane="bottomLeft" state="frozen"/>
      <selection pane="bottomLeft" activeCell="B32" sqref="B32"/>
    </sheetView>
    <sheetView workbookViewId="1">
      <selection activeCell="C31" sqref="C31"/>
    </sheetView>
  </sheetViews>
  <sheetFormatPr defaultRowHeight="14.5" x14ac:dyDescent="0.35"/>
  <cols>
    <col min="1" max="1" width="16" customWidth="1"/>
    <col min="2" max="2" width="32" customWidth="1"/>
    <col min="3" max="4" width="14" customWidth="1"/>
    <col min="5" max="5" width="18" customWidth="1"/>
    <col min="6" max="9" width="14" customWidth="1"/>
    <col min="10" max="10" width="28" customWidth="1"/>
    <col min="11" max="13" width="22" customWidth="1"/>
    <col min="14" max="14" width="18" customWidth="1"/>
    <col min="15" max="15" width="14" customWidth="1"/>
    <col min="16" max="16" width="18" customWidth="1"/>
    <col min="17" max="17" width="14.453125" customWidth="1"/>
    <col min="18" max="18" width="14" customWidth="1"/>
    <col min="19" max="19" width="10" customWidth="1"/>
    <col min="20" max="20" width="16" customWidth="1"/>
    <col min="21" max="21" width="20" customWidth="1"/>
    <col min="22" max="22" width="14" customWidth="1"/>
    <col min="23" max="23" width="10" customWidth="1"/>
    <col min="24" max="25" width="18" customWidth="1"/>
  </cols>
  <sheetData>
    <row r="1" spans="1:25" ht="30" customHeight="1" x14ac:dyDescent="0.35">
      <c r="A1" s="27" t="s">
        <v>413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</row>
    <row r="2" spans="1:25" ht="14.5" customHeight="1" x14ac:dyDescent="0.35">
      <c r="A2" s="20" t="s">
        <v>404</v>
      </c>
      <c r="B2" s="38" t="s">
        <v>189</v>
      </c>
      <c r="C2" s="39"/>
      <c r="D2" s="39"/>
      <c r="E2" s="39"/>
      <c r="F2" s="39"/>
      <c r="G2" s="33" t="s">
        <v>151</v>
      </c>
      <c r="H2" s="34"/>
      <c r="I2" s="34"/>
      <c r="J2" s="34"/>
      <c r="K2" s="23" t="s">
        <v>411</v>
      </c>
      <c r="L2" s="19"/>
      <c r="M2" s="19"/>
      <c r="O2" s="19"/>
      <c r="P2" s="19"/>
      <c r="Q2" s="19"/>
      <c r="R2" s="19"/>
      <c r="S2" s="19"/>
      <c r="T2" s="36" t="s">
        <v>151</v>
      </c>
      <c r="U2" s="32"/>
      <c r="V2" s="32"/>
      <c r="W2" s="32"/>
      <c r="X2" s="37"/>
    </row>
    <row r="4" spans="1:25" ht="20" customHeight="1" x14ac:dyDescent="0.35">
      <c r="A4" s="18" t="s">
        <v>403</v>
      </c>
      <c r="B4" s="18" t="s">
        <v>221</v>
      </c>
      <c r="C4" s="18" t="s">
        <v>229</v>
      </c>
      <c r="D4" s="18" t="s">
        <v>231</v>
      </c>
      <c r="E4" s="18" t="s">
        <v>232</v>
      </c>
      <c r="F4" s="18" t="s">
        <v>233</v>
      </c>
      <c r="G4" s="18" t="s">
        <v>237</v>
      </c>
      <c r="H4" s="18" t="s">
        <v>238</v>
      </c>
      <c r="I4" s="18" t="s">
        <v>241</v>
      </c>
      <c r="J4" s="18" t="s">
        <v>242</v>
      </c>
      <c r="K4" s="18" t="s">
        <v>243</v>
      </c>
      <c r="L4" s="18" t="s">
        <v>228</v>
      </c>
      <c r="M4" s="18" t="s">
        <v>230</v>
      </c>
      <c r="N4" s="18" t="s">
        <v>234</v>
      </c>
      <c r="O4" s="18" t="s">
        <v>235</v>
      </c>
      <c r="P4" s="18" t="s">
        <v>236</v>
      </c>
      <c r="Q4" s="18" t="s">
        <v>239</v>
      </c>
      <c r="R4" s="18" t="s">
        <v>240</v>
      </c>
      <c r="S4" s="18" t="s">
        <v>401</v>
      </c>
      <c r="T4" s="18" t="s">
        <v>244</v>
      </c>
      <c r="U4" s="18" t="s">
        <v>245</v>
      </c>
      <c r="V4" s="18" t="s">
        <v>246</v>
      </c>
      <c r="W4" s="18" t="s">
        <v>247</v>
      </c>
      <c r="X4" s="18" t="s">
        <v>400</v>
      </c>
      <c r="Y4" s="18" t="s">
        <v>226</v>
      </c>
    </row>
    <row r="5" spans="1:25" ht="16" customHeight="1" x14ac:dyDescent="0.35">
      <c r="A5" s="17" t="s">
        <v>399</v>
      </c>
      <c r="B5" s="17" t="s">
        <v>397</v>
      </c>
      <c r="C5" s="17" t="s">
        <v>406</v>
      </c>
      <c r="D5" s="17" t="s">
        <v>406</v>
      </c>
      <c r="E5" s="17" t="s">
        <v>407</v>
      </c>
      <c r="F5" s="17" t="s">
        <v>407</v>
      </c>
      <c r="G5" s="17" t="s">
        <v>408</v>
      </c>
      <c r="H5" s="17" t="s">
        <v>409</v>
      </c>
      <c r="I5" s="17" t="s">
        <v>410</v>
      </c>
      <c r="J5" s="17" t="s">
        <v>409</v>
      </c>
      <c r="K5" s="17" t="s">
        <v>407</v>
      </c>
      <c r="L5" s="17" t="s">
        <v>406</v>
      </c>
      <c r="M5" s="17" t="s">
        <v>406</v>
      </c>
      <c r="N5" s="17" t="s">
        <v>395</v>
      </c>
      <c r="O5" s="17" t="s">
        <v>406</v>
      </c>
      <c r="P5" s="17" t="s">
        <v>396</v>
      </c>
      <c r="Q5" s="17" t="s">
        <v>395</v>
      </c>
      <c r="R5" s="17" t="s">
        <v>395</v>
      </c>
      <c r="S5" s="17" t="s">
        <v>394</v>
      </c>
      <c r="T5" s="17" t="s">
        <v>395</v>
      </c>
      <c r="U5" s="17" t="s">
        <v>394</v>
      </c>
      <c r="V5" s="17" t="s">
        <v>394</v>
      </c>
      <c r="W5" s="17" t="s">
        <v>394</v>
      </c>
      <c r="X5" s="17" t="s">
        <v>394</v>
      </c>
      <c r="Y5" s="17" t="s">
        <v>395</v>
      </c>
    </row>
    <row r="6" spans="1:25" ht="28" customHeight="1" x14ac:dyDescent="0.35">
      <c r="A6" s="16" t="s">
        <v>0</v>
      </c>
      <c r="B6" s="14" t="s">
        <v>190</v>
      </c>
      <c r="C6" s="21" t="s">
        <v>202</v>
      </c>
      <c r="D6" s="21" t="s">
        <v>204</v>
      </c>
      <c r="E6" s="22" t="s">
        <v>205</v>
      </c>
      <c r="F6" s="22" t="s">
        <v>206</v>
      </c>
      <c r="G6" s="22" t="s">
        <v>210</v>
      </c>
      <c r="H6" s="22" t="s">
        <v>211</v>
      </c>
      <c r="I6" s="15" t="s">
        <v>215</v>
      </c>
      <c r="J6" s="22" t="s">
        <v>216</v>
      </c>
      <c r="K6" s="22" t="s">
        <v>217</v>
      </c>
      <c r="L6" s="14" t="s">
        <v>201</v>
      </c>
      <c r="M6" s="24" t="s">
        <v>203</v>
      </c>
      <c r="N6" s="24" t="s">
        <v>207</v>
      </c>
      <c r="O6" s="24" t="s">
        <v>208</v>
      </c>
      <c r="P6" s="24" t="s">
        <v>209</v>
      </c>
      <c r="Q6" s="24" t="s">
        <v>212</v>
      </c>
      <c r="R6" s="24" t="s">
        <v>213</v>
      </c>
      <c r="S6" s="24" t="s">
        <v>214</v>
      </c>
      <c r="T6" s="24" t="s">
        <v>218</v>
      </c>
      <c r="U6" s="24" t="s">
        <v>3</v>
      </c>
      <c r="V6" s="24" t="s">
        <v>219</v>
      </c>
      <c r="W6" s="24" t="s">
        <v>220</v>
      </c>
      <c r="X6" s="24" t="s">
        <v>4</v>
      </c>
      <c r="Y6" s="25" t="s">
        <v>195</v>
      </c>
    </row>
    <row r="7" spans="1:25" ht="18" customHeight="1" x14ac:dyDescent="0.35">
      <c r="A7" s="65" t="s">
        <v>412</v>
      </c>
      <c r="B7" s="65" t="str">
        <f>_xlfn.XLOOKUP(TransactionCalc[[#This Row],[TransactionID]],TransactionFact[TransactionID],TransactionFact[Address],"")</f>
        <v>998 Barn Swallow, Wadsworth 44281</v>
      </c>
      <c r="C7" s="65" t="str">
        <f>_xlfn.XLOOKUP(TransactionCalc[[#This Row],[ListAgentName]],Agent[AgentName],Agent[Office],"")</f>
        <v>Pulte Homes</v>
      </c>
      <c r="D7" s="78" t="str">
        <f>_xlfn.XLOOKUP(TransactionCalc[[#This Row],[SellAgentName]],Agent[AgentName],Agent[Office],"")</f>
        <v>HH</v>
      </c>
      <c r="E7" s="79" t="str">
        <f>IF(TransactionCalc[[#This Row],[ListAgentOffice]]="HH","Yes","No")</f>
        <v>No</v>
      </c>
      <c r="F7" s="80" t="str">
        <f>IF(TransactionCalc[[#This Row],[SellAgentOffice]]="HH","Yes","No")</f>
        <v>Yes</v>
      </c>
      <c r="G7" s="81">
        <f>IFERROR(TransactionCalc[[#This Row],[CommPct]]-TransactionCalc[[#This Row],[ListingCommPct]],0)</f>
        <v>0.02</v>
      </c>
      <c r="H7" s="75">
        <f>IFERROR(IF(TransactionCalc[[#This Row],[CommPct]]&gt;0,TransactionCalc[[#This Row],[SalePrice]]*TransactionCalc[[#This Row],[CommPct]],TransactionCalc[[#This Row],[CommFlatAmt]]),0)</f>
        <v>12355.7</v>
      </c>
      <c r="I7" s="76">
        <f>IF(_xlfn.XLOOKUP(TransactionCalc[[#This Row],[TransactionID]],TransactionFact[TransactionID],TransactionFact[FlatFee],"")="Yes",FlatFee,0)</f>
        <v>399</v>
      </c>
      <c r="J7" s="76">
        <f>IF(TransactionCalc[[#This Row],[HHListing]]="Yes",TransactionCalc[[#This Row],[ListingSideAmt]],0)+IF(TransactionCalc[[#This Row],[HHSale]]="Yes",TransactionCalc[[#This Row],[SaleSideAmt]],0)+TransactionCalc[[#This Row],[FlatFeeAmt]]</f>
        <v>12754.7</v>
      </c>
      <c r="K7" s="65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7" s="72" t="str">
        <f>_xlfn.XLOOKUP(TransactionCalc[[#This Row],[TransactionID]],TransactionFact[TransactionID],TransactionFact[ListAgentName],"")</f>
        <v>Pulte Homes</v>
      </c>
      <c r="M7" s="72" t="str">
        <f>_xlfn.XLOOKUP(TransactionCalc[[#This Row],[TransactionID]],TransactionFact[TransactionID],TransactionFact[SellAgentName],"")</f>
        <v>Kelly Watts</v>
      </c>
      <c r="N7" s="82">
        <f>_xlfn.XLOOKUP(TransactionCalc[[#This Row],[TransactionID]],TransactionFact[TransactionID],TransactionFact[CommFlatAmt],"")</f>
        <v>0</v>
      </c>
      <c r="O7" s="74">
        <f>_xlfn.XLOOKUP(TransactionCalc[[#This Row],[TransactionID]],TransactionFact[TransactionID],TransactionFact[CommPct],"")</f>
        <v>0.02</v>
      </c>
      <c r="P7" s="74">
        <f>_xlfn.XLOOKUP(TransactionCalc[[#This Row],[TransactionID]],TransactionFact[TransactionID],TransactionFact[ListingCommPct],"")</f>
        <v>0</v>
      </c>
      <c r="Q7" s="82">
        <f>_xlfn.XLOOKUP(TransactionCalc[[#This Row],[TransactionID]],TransactionFact[TransactionID],TransactionFact[ListingSideAmt],"")</f>
        <v>0</v>
      </c>
      <c r="R7" s="82">
        <f>_xlfn.XLOOKUP(TransactionCalc[[#This Row],[TransactionID]],TransactionFact[TransactionID],TransactionFact[SaleSideAmt],"")</f>
        <v>12355.7</v>
      </c>
      <c r="S7" s="72" t="str">
        <f>_xlfn.XLOOKUP(TransactionCalc[[#This Row],[TransactionID]],TransactionFact[TransactionID],TransactionFact[FlatFee],"")</f>
        <v>Yes</v>
      </c>
      <c r="T7" s="82">
        <f>_xlfn.XLOOKUP(TransactionCalc[[#This Row],[TransactionID]],TransactionFact[TransactionID],TransactionFact[EMAmt],"")</f>
        <v>0</v>
      </c>
      <c r="U7" s="72">
        <f>_xlfn.XLOOKUP(TransactionCalc[[#This Row],[TransactionID]],TransactionFact[TransactionID],TransactionFact[EMHold],"")</f>
        <v>0</v>
      </c>
      <c r="V7" s="72">
        <f>_xlfn.XLOOKUP(TransactionCalc[[#This Row],[TransactionID]],TransactionFact[TransactionID],TransactionFact[HomeWarranty],"")</f>
        <v>0</v>
      </c>
      <c r="W7" s="72">
        <f>_xlfn.XLOOKUP(TransactionCalc[[#This Row],[TransactionID]],TransactionFact[TransactionID],TransactionFact[HSA],"")</f>
        <v>0</v>
      </c>
      <c r="X7" s="72">
        <f>_xlfn.XLOOKUP(TransactionCalc[[#This Row],[TransactionID]],TransactionFact[TransactionID],TransactionFact[HWPay],"")</f>
        <v>0</v>
      </c>
      <c r="Y7" s="82">
        <f>_xlfn.XLOOKUP(TransactionCalc[[#This Row],[TransactionID]],TransactionFact[TransactionID],TransactionFact[SalePrice],"")</f>
        <v>617785</v>
      </c>
    </row>
    <row r="8" spans="1:25" ht="18" customHeight="1" x14ac:dyDescent="0.35">
      <c r="A8" s="65" t="s">
        <v>474</v>
      </c>
      <c r="B8" s="79" t="str">
        <f>_xlfn.XLOOKUP(TransactionCalc[[#This Row],[TransactionID]],TransactionFact[TransactionID],TransactionFact[Address],"")</f>
        <v>133 Beck, Wadsworth 44281</v>
      </c>
      <c r="C8" s="65" t="str">
        <f>_xlfn.XLOOKUP(TransactionCalc[[#This Row],[ListAgentName]],Agent[AgentName],Agent[Office],"")</f>
        <v>HH</v>
      </c>
      <c r="D8" s="78" t="str">
        <f>_xlfn.XLOOKUP(TransactionCalc[[#This Row],[SellAgentName]],Agent[AgentName],Agent[Office],"")</f>
        <v>HH</v>
      </c>
      <c r="E8" s="79" t="str">
        <f>IF(TransactionCalc[[#This Row],[ListAgentOffice]]="HH","Yes","No")</f>
        <v>Yes</v>
      </c>
      <c r="F8" s="80" t="str">
        <f>IF(TransactionCalc[[#This Row],[SellAgentOffice]]="HH","Yes","No")</f>
        <v>Yes</v>
      </c>
      <c r="G8" s="81">
        <f>IFERROR(TransactionCalc[[#This Row],[CommPct]]-TransactionCalc[[#This Row],[ListingCommPct]],0)</f>
        <v>0</v>
      </c>
      <c r="H8" s="75">
        <f>IFERROR(IF(TransactionCalc[[#This Row],[CommPct]]&gt;0,TransactionCalc[[#This Row],[SalePrice]]*TransactionCalc[[#This Row],[CommPct]],TransactionCalc[[#This Row],[CommFlatAmt]]),0)</f>
        <v>2500</v>
      </c>
      <c r="I8" s="76">
        <f>IF(_xlfn.XLOOKUP(TransactionCalc[[#This Row],[TransactionID]],TransactionFact[TransactionID],TransactionFact[FlatFee],"")="Yes",FlatFee,0)</f>
        <v>0</v>
      </c>
      <c r="J8" s="76">
        <f>IF(TransactionCalc[[#This Row],[HHListing]]="Yes",TransactionCalc[[#This Row],[ListingSideAmt]],0)+IF(TransactionCalc[[#This Row],[HHSale]]="Yes",TransactionCalc[[#This Row],[SaleSideAmt]],0)+TransactionCalc[[#This Row],[FlatFeeAmt]]</f>
        <v>2500</v>
      </c>
      <c r="K8" s="79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8" s="72" t="str">
        <f>_xlfn.XLOOKUP(TransactionCalc[[#This Row],[TransactionID]],TransactionFact[TransactionID],TransactionFact[ListAgentName],"")</f>
        <v>Barb Lesure</v>
      </c>
      <c r="M8" s="72" t="str">
        <f>_xlfn.XLOOKUP(TransactionCalc[[#This Row],[TransactionID]],TransactionFact[TransactionID],TransactionFact[SellAgentName],"")</f>
        <v>Ron Ho</v>
      </c>
      <c r="N8" s="82">
        <f>_xlfn.XLOOKUP(TransactionCalc[[#This Row],[TransactionID]],TransactionFact[TransactionID],TransactionFact[CommFlatAmt],"")</f>
        <v>2500</v>
      </c>
      <c r="O8" s="74">
        <f>_xlfn.XLOOKUP(TransactionCalc[[#This Row],[TransactionID]],TransactionFact[TransactionID],TransactionFact[CommPct],"")</f>
        <v>0</v>
      </c>
      <c r="P8" s="74">
        <f>_xlfn.XLOOKUP(TransactionCalc[[#This Row],[TransactionID]],TransactionFact[TransactionID],TransactionFact[ListingCommPct],"")</f>
        <v>0</v>
      </c>
      <c r="Q8" s="82">
        <f>_xlfn.XLOOKUP(TransactionCalc[[#This Row],[TransactionID]],TransactionFact[TransactionID],TransactionFact[ListingSideAmt],"")</f>
        <v>2000</v>
      </c>
      <c r="R8" s="82">
        <f>_xlfn.XLOOKUP(TransactionCalc[[#This Row],[TransactionID]],TransactionFact[TransactionID],TransactionFact[SaleSideAmt],"")</f>
        <v>500</v>
      </c>
      <c r="S8" s="72" t="str">
        <f>_xlfn.XLOOKUP(TransactionCalc[[#This Row],[TransactionID]],TransactionFact[TransactionID],TransactionFact[FlatFee],"")</f>
        <v>No</v>
      </c>
      <c r="T8" s="82">
        <f>_xlfn.XLOOKUP(TransactionCalc[[#This Row],[TransactionID]],TransactionFact[TransactionID],TransactionFact[EMAmt],"")</f>
        <v>0</v>
      </c>
      <c r="U8" s="72">
        <f>_xlfn.XLOOKUP(TransactionCalc[[#This Row],[TransactionID]],TransactionFact[TransactionID],TransactionFact[EMHold],"")</f>
        <v>0</v>
      </c>
      <c r="V8" s="72">
        <f>_xlfn.XLOOKUP(TransactionCalc[[#This Row],[TransactionID]],TransactionFact[TransactionID],TransactionFact[HomeWarranty],"")</f>
        <v>0</v>
      </c>
      <c r="W8" s="72">
        <f>_xlfn.XLOOKUP(TransactionCalc[[#This Row],[TransactionID]],TransactionFact[TransactionID],TransactionFact[HSA],"")</f>
        <v>0</v>
      </c>
      <c r="X8" s="72">
        <f>_xlfn.XLOOKUP(TransactionCalc[[#This Row],[TransactionID]],TransactionFact[TransactionID],TransactionFact[HWPay],"")</f>
        <v>0</v>
      </c>
      <c r="Y8" s="82">
        <f>_xlfn.XLOOKUP(TransactionCalc[[#This Row],[TransactionID]],TransactionFact[TransactionID],TransactionFact[SalePrice],"")</f>
        <v>85500</v>
      </c>
    </row>
    <row r="9" spans="1:25" x14ac:dyDescent="0.35">
      <c r="A9" s="65" t="s">
        <v>473</v>
      </c>
      <c r="B9" s="79" t="str">
        <f>_xlfn.XLOOKUP(TransactionCalc[[#This Row],[TransactionID]],TransactionFact[TransactionID],TransactionFact[Address],"")</f>
        <v>743 Bent Creek, Wadsworth 44281</v>
      </c>
      <c r="C9" s="65" t="str">
        <f>_xlfn.XLOOKUP(TransactionCalc[[#This Row],[ListAgentName]],Agent[AgentName],Agent[Office],"")</f>
        <v>Keller</v>
      </c>
      <c r="D9" s="78" t="str">
        <f>_xlfn.XLOOKUP(TransactionCalc[[#This Row],[SellAgentName]],Agent[AgentName],Agent[Office],"")</f>
        <v>HH</v>
      </c>
      <c r="E9" s="79" t="str">
        <f>IF(TransactionCalc[[#This Row],[ListAgentOffice]]="HH","Yes","No")</f>
        <v>No</v>
      </c>
      <c r="F9" s="80" t="str">
        <f>IF(TransactionCalc[[#This Row],[SellAgentOffice]]="HH","Yes","No")</f>
        <v>Yes</v>
      </c>
      <c r="G9" s="81">
        <f>IFERROR(TransactionCalc[[#This Row],[CommPct]]-TransactionCalc[[#This Row],[ListingCommPct]],0)</f>
        <v>0.02</v>
      </c>
      <c r="H9" s="75">
        <f>IFERROR(IF(TransactionCalc[[#This Row],[CommPct]]&gt;0,TransactionCalc[[#This Row],[SalePrice]]*TransactionCalc[[#This Row],[CommPct]],TransactionCalc[[#This Row],[CommFlatAmt]]),0)</f>
        <v>4900</v>
      </c>
      <c r="I9" s="76">
        <f>IF(_xlfn.XLOOKUP(TransactionCalc[[#This Row],[TransactionID]],TransactionFact[TransactionID],TransactionFact[FlatFee],"")="Yes",FlatFee,0)</f>
        <v>399</v>
      </c>
      <c r="J9" s="76">
        <f>IF(TransactionCalc[[#This Row],[HHListing]]="Yes",TransactionCalc[[#This Row],[ListingSideAmt]],0)+IF(TransactionCalc[[#This Row],[HHSale]]="Yes",TransactionCalc[[#This Row],[SaleSideAmt]],0)+TransactionCalc[[#This Row],[FlatFeeAmt]]</f>
        <v>5299</v>
      </c>
      <c r="K9" s="79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9" s="72" t="str">
        <f>_xlfn.XLOOKUP(TransactionCalc[[#This Row],[TransactionID]],TransactionFact[TransactionID],TransactionFact[ListAgentName],"")</f>
        <v>Ivana Carson</v>
      </c>
      <c r="M9" s="72" t="str">
        <f>_xlfn.XLOOKUP(TransactionCalc[[#This Row],[TransactionID]],TransactionFact[TransactionID],TransactionFact[SellAgentName],"")</f>
        <v>Amy Frary</v>
      </c>
      <c r="N9" s="82">
        <f>_xlfn.XLOOKUP(TransactionCalc[[#This Row],[TransactionID]],TransactionFact[TransactionID],TransactionFact[CommFlatAmt],"")</f>
        <v>0</v>
      </c>
      <c r="O9" s="74">
        <f>_xlfn.XLOOKUP(TransactionCalc[[#This Row],[TransactionID]],TransactionFact[TransactionID],TransactionFact[CommPct],"")</f>
        <v>0.02</v>
      </c>
      <c r="P9" s="74">
        <f>_xlfn.XLOOKUP(TransactionCalc[[#This Row],[TransactionID]],TransactionFact[TransactionID],TransactionFact[ListingCommPct],"")</f>
        <v>0</v>
      </c>
      <c r="Q9" s="82">
        <f>_xlfn.XLOOKUP(TransactionCalc[[#This Row],[TransactionID]],TransactionFact[TransactionID],TransactionFact[ListingSideAmt],"")</f>
        <v>0</v>
      </c>
      <c r="R9" s="82">
        <f>_xlfn.XLOOKUP(TransactionCalc[[#This Row],[TransactionID]],TransactionFact[TransactionID],TransactionFact[SaleSideAmt],"")</f>
        <v>4900</v>
      </c>
      <c r="S9" s="72" t="str">
        <f>_xlfn.XLOOKUP(TransactionCalc[[#This Row],[TransactionID]],TransactionFact[TransactionID],TransactionFact[FlatFee],"")</f>
        <v>Yes</v>
      </c>
      <c r="T9" s="82">
        <f>_xlfn.XLOOKUP(TransactionCalc[[#This Row],[TransactionID]],TransactionFact[TransactionID],TransactionFact[EMAmt],"")</f>
        <v>0</v>
      </c>
      <c r="U9" s="72">
        <f>_xlfn.XLOOKUP(TransactionCalc[[#This Row],[TransactionID]],TransactionFact[TransactionID],TransactionFact[EMHold],"")</f>
        <v>0</v>
      </c>
      <c r="V9" s="72">
        <f>_xlfn.XLOOKUP(TransactionCalc[[#This Row],[TransactionID]],TransactionFact[TransactionID],TransactionFact[HomeWarranty],"")</f>
        <v>0</v>
      </c>
      <c r="W9" s="72">
        <f>_xlfn.XLOOKUP(TransactionCalc[[#This Row],[TransactionID]],TransactionFact[TransactionID],TransactionFact[HSA],"")</f>
        <v>0</v>
      </c>
      <c r="X9" s="72">
        <f>_xlfn.XLOOKUP(TransactionCalc[[#This Row],[TransactionID]],TransactionFact[TransactionID],TransactionFact[HWPay],"")</f>
        <v>0</v>
      </c>
      <c r="Y9" s="82">
        <f>_xlfn.XLOOKUP(TransactionCalc[[#This Row],[TransactionID]],TransactionFact[TransactionID],TransactionFact[SalePrice],"")</f>
        <v>245000</v>
      </c>
    </row>
    <row r="10" spans="1:25" x14ac:dyDescent="0.35">
      <c r="A10" s="56" t="s">
        <v>472</v>
      </c>
      <c r="B10" s="231" t="str">
        <f>_xlfn.XLOOKUP(TransactionCalc[[#This Row],[TransactionID]],TransactionFact[TransactionID],TransactionFact[Address],"")</f>
        <v>2644 Harpster, Rittman 44270</v>
      </c>
      <c r="C10" s="56" t="str">
        <f>_xlfn.XLOOKUP(TransactionCalc[[#This Row],[ListAgentName]],Agent[AgentName],Agent[Office],"")</f>
        <v>HH</v>
      </c>
      <c r="D10" s="78" t="str">
        <f>_xlfn.XLOOKUP(TransactionCalc[[#This Row],[SellAgentName]],Agent[AgentName],Agent[Office],"")</f>
        <v>McDowell</v>
      </c>
      <c r="E10" s="231" t="str">
        <f>IF(TransactionCalc[[#This Row],[ListAgentOffice]]="HH","Yes","No")</f>
        <v>Yes</v>
      </c>
      <c r="F10" s="80" t="str">
        <f>IF(TransactionCalc[[#This Row],[SellAgentOffice]]="HH","Yes","No")</f>
        <v>No</v>
      </c>
      <c r="G10" s="239">
        <f>IFERROR(TransactionCalc[[#This Row],[CommPct]]-TransactionCalc[[#This Row],[ListingCommPct]],0)</f>
        <v>0.03</v>
      </c>
      <c r="H10" s="237">
        <f>IFERROR(IF(TransactionCalc[[#This Row],[CommPct]]&gt;0,TransactionCalc[[#This Row],[SalePrice]]*TransactionCalc[[#This Row],[CommPct]],TransactionCalc[[#This Row],[CommFlatAmt]]),0)</f>
        <v>16500</v>
      </c>
      <c r="I10" s="238">
        <f>IF(_xlfn.XLOOKUP(TransactionCalc[[#This Row],[TransactionID]],TransactionFact[TransactionID],TransactionFact[FlatFee],"")="Yes",FlatFee,0)</f>
        <v>399</v>
      </c>
      <c r="J10" s="232">
        <f>IF(TransactionCalc[[#This Row],[HHListing]]="Yes",TransactionCalc[[#This Row],[ListingSideAmt]],0)+IF(TransactionCalc[[#This Row],[HHSale]]="Yes",TransactionCalc[[#This Row],[SaleSideAmt]],0)+TransactionCalc[[#This Row],[FlatFeeAmt]]</f>
        <v>8649</v>
      </c>
      <c r="K10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10" s="72" t="str">
        <f>_xlfn.XLOOKUP(TransactionCalc[[#This Row],[TransactionID]],TransactionFact[TransactionID],TransactionFact[ListAgentName],"")</f>
        <v>Karen/Milka</v>
      </c>
      <c r="M10" s="72" t="str">
        <f>_xlfn.XLOOKUP(TransactionCalc[[#This Row],[TransactionID]],TransactionFact[TransactionID],TransactionFact[SellAgentName],"")</f>
        <v>Jerry Lesac</v>
      </c>
      <c r="N10" s="82">
        <f>_xlfn.XLOOKUP(TransactionCalc[[#This Row],[TransactionID]],TransactionFact[TransactionID],TransactionFact[CommFlatAmt],"")</f>
        <v>0</v>
      </c>
      <c r="O10" s="236">
        <f>_xlfn.XLOOKUP(TransactionCalc[[#This Row],[TransactionID]],TransactionFact[TransactionID],TransactionFact[CommPct],"")</f>
        <v>0.06</v>
      </c>
      <c r="P10" s="236">
        <f>_xlfn.XLOOKUP(TransactionCalc[[#This Row],[TransactionID]],TransactionFact[TransactionID],TransactionFact[ListingCommPct],"")</f>
        <v>0.03</v>
      </c>
      <c r="Q10" s="82">
        <f>_xlfn.XLOOKUP(TransactionCalc[[#This Row],[TransactionID]],TransactionFact[TransactionID],TransactionFact[ListingSideAmt],"")</f>
        <v>8250</v>
      </c>
      <c r="R10" s="82">
        <f>_xlfn.XLOOKUP(TransactionCalc[[#This Row],[TransactionID]],TransactionFact[TransactionID],TransactionFact[SaleSideAmt],"")</f>
        <v>8250</v>
      </c>
      <c r="S10" s="72" t="str">
        <f>_xlfn.XLOOKUP(TransactionCalc[[#This Row],[TransactionID]],TransactionFact[TransactionID],TransactionFact[FlatFee],"")</f>
        <v>Yes</v>
      </c>
      <c r="T10" s="82">
        <f>_xlfn.XLOOKUP(TransactionCalc[[#This Row],[TransactionID]],TransactionFact[TransactionID],TransactionFact[EMAmt],"")</f>
        <v>0</v>
      </c>
      <c r="U10" s="72">
        <f>_xlfn.XLOOKUP(TransactionCalc[[#This Row],[TransactionID]],TransactionFact[TransactionID],TransactionFact[EMHold],"")</f>
        <v>0</v>
      </c>
      <c r="V10" s="72">
        <f>_xlfn.XLOOKUP(TransactionCalc[[#This Row],[TransactionID]],TransactionFact[TransactionID],TransactionFact[HomeWarranty],"")</f>
        <v>0</v>
      </c>
      <c r="W10" s="72">
        <f>_xlfn.XLOOKUP(TransactionCalc[[#This Row],[TransactionID]],TransactionFact[TransactionID],TransactionFact[HSA],"")</f>
        <v>0</v>
      </c>
      <c r="X10" s="72">
        <f>_xlfn.XLOOKUP(TransactionCalc[[#This Row],[TransactionID]],TransactionFact[TransactionID],TransactionFact[HWPay],"")</f>
        <v>0</v>
      </c>
      <c r="Y10" s="82">
        <f>_xlfn.XLOOKUP(TransactionCalc[[#This Row],[TransactionID]],TransactionFact[TransactionID],TransactionFact[SalePrice],"")</f>
        <v>275000</v>
      </c>
    </row>
    <row r="11" spans="1:25" x14ac:dyDescent="0.35">
      <c r="A11" s="56" t="s">
        <v>475</v>
      </c>
      <c r="B11" s="231" t="str">
        <f>_xlfn.XLOOKUP(TransactionCalc[[#This Row],[TransactionID]],TransactionFact[TransactionID],TransactionFact[Address],"")</f>
        <v>1774 Hila Way, Wooster 44691</v>
      </c>
      <c r="C11" s="56" t="str">
        <f>_xlfn.XLOOKUP(TransactionCalc[[#This Row],[ListAgentName]],Agent[AgentName],Agent[Office],"")</f>
        <v>HH</v>
      </c>
      <c r="D11" s="78" t="str">
        <f>_xlfn.XLOOKUP(TransactionCalc[[#This Row],[SellAgentName]],Agent[AgentName],Agent[Office],"")</f>
        <v>Remax</v>
      </c>
      <c r="E11" s="231" t="str">
        <f>IF(TransactionCalc[[#This Row],[ListAgentOffice]]="HH","Yes","No")</f>
        <v>Yes</v>
      </c>
      <c r="F11" s="80" t="str">
        <f>IF(TransactionCalc[[#This Row],[SellAgentOffice]]="HH","Yes","No")</f>
        <v>No</v>
      </c>
      <c r="G11" s="239">
        <f>IFERROR(TransactionCalc[[#This Row],[CommPct]]-TransactionCalc[[#This Row],[ListingCommPct]],0)</f>
        <v>2.5000000000000001E-2</v>
      </c>
      <c r="H11" s="237">
        <f>IFERROR(IF(TransactionCalc[[#This Row],[CommPct]]&gt;0,TransactionCalc[[#This Row],[SalePrice]]*TransactionCalc[[#This Row],[CommPct]],TransactionCalc[[#This Row],[CommFlatAmt]]),0)</f>
        <v>17050</v>
      </c>
      <c r="I11" s="238">
        <f>IF(_xlfn.XLOOKUP(TransactionCalc[[#This Row],[TransactionID]],TransactionFact[TransactionID],TransactionFact[FlatFee],"")="Yes",FlatFee,0)</f>
        <v>399</v>
      </c>
      <c r="J11" s="232">
        <f>IF(TransactionCalc[[#This Row],[HHListing]]="Yes",TransactionCalc[[#This Row],[ListingSideAmt]],0)+IF(TransactionCalc[[#This Row],[HHSale]]="Yes",TransactionCalc[[#This Row],[SaleSideAmt]],0)+TransactionCalc[[#This Row],[FlatFeeAmt]]</f>
        <v>9699</v>
      </c>
      <c r="K11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11" s="72" t="str">
        <f>_xlfn.XLOOKUP(TransactionCalc[[#This Row],[TransactionID]],TransactionFact[TransactionID],TransactionFact[ListAgentName],"")</f>
        <v>Kelly/Heidi</v>
      </c>
      <c r="M11" s="72" t="str">
        <f>_xlfn.XLOOKUP(TransactionCalc[[#This Row],[TransactionID]],TransactionFact[TransactionID],TransactionFact[SellAgentName],"")</f>
        <v>Cindy McCory</v>
      </c>
      <c r="N11" s="82">
        <f>_xlfn.XLOOKUP(TransactionCalc[[#This Row],[TransactionID]],TransactionFact[TransactionID],TransactionFact[CommFlatAmt],"")</f>
        <v>0</v>
      </c>
      <c r="O11" s="236">
        <f>_xlfn.XLOOKUP(TransactionCalc[[#This Row],[TransactionID]],TransactionFact[TransactionID],TransactionFact[CommPct],"")</f>
        <v>5.5E-2</v>
      </c>
      <c r="P11" s="236">
        <f>_xlfn.XLOOKUP(TransactionCalc[[#This Row],[TransactionID]],TransactionFact[TransactionID],TransactionFact[ListingCommPct],"")</f>
        <v>0.03</v>
      </c>
      <c r="Q11" s="82">
        <f>_xlfn.XLOOKUP(TransactionCalc[[#This Row],[TransactionID]],TransactionFact[TransactionID],TransactionFact[ListingSideAmt],"")</f>
        <v>9300</v>
      </c>
      <c r="R11" s="82">
        <f>_xlfn.XLOOKUP(TransactionCalc[[#This Row],[TransactionID]],TransactionFact[TransactionID],TransactionFact[SaleSideAmt],"")</f>
        <v>7750</v>
      </c>
      <c r="S11" s="72" t="str">
        <f>_xlfn.XLOOKUP(TransactionCalc[[#This Row],[TransactionID]],TransactionFact[TransactionID],TransactionFact[FlatFee],"")</f>
        <v>Yes</v>
      </c>
      <c r="T11" s="82">
        <f>_xlfn.XLOOKUP(TransactionCalc[[#This Row],[TransactionID]],TransactionFact[TransactionID],TransactionFact[EMAmt],"")</f>
        <v>0</v>
      </c>
      <c r="U11" s="72">
        <f>_xlfn.XLOOKUP(TransactionCalc[[#This Row],[TransactionID]],TransactionFact[TransactionID],TransactionFact[EMHold],"")</f>
        <v>0</v>
      </c>
      <c r="V11" s="72">
        <f>_xlfn.XLOOKUP(TransactionCalc[[#This Row],[TransactionID]],TransactionFact[TransactionID],TransactionFact[HomeWarranty],"")</f>
        <v>0</v>
      </c>
      <c r="W11" s="72">
        <f>_xlfn.XLOOKUP(TransactionCalc[[#This Row],[TransactionID]],TransactionFact[TransactionID],TransactionFact[HSA],"")</f>
        <v>0</v>
      </c>
      <c r="X11" s="72">
        <f>_xlfn.XLOOKUP(TransactionCalc[[#This Row],[TransactionID]],TransactionFact[TransactionID],TransactionFact[HWPay],"")</f>
        <v>0</v>
      </c>
      <c r="Y11" s="82">
        <f>_xlfn.XLOOKUP(TransactionCalc[[#This Row],[TransactionID]],TransactionFact[TransactionID],TransactionFact[SalePrice],"")</f>
        <v>310000</v>
      </c>
    </row>
    <row r="12" spans="1:25" x14ac:dyDescent="0.35">
      <c r="A12" s="56" t="s">
        <v>567</v>
      </c>
      <c r="B12" s="231" t="str">
        <f>_xlfn.XLOOKUP(TransactionCalc[[#This Row],[TransactionID]],TransactionFact[TransactionID],TransactionFact[Address],"")</f>
        <v>744 Lawrence, Wadsworth 44281</v>
      </c>
      <c r="C12" s="56" t="str">
        <f>_xlfn.XLOOKUP(TransactionCalc[[#This Row],[ListAgentName]],Agent[AgentName],Agent[Office],"")</f>
        <v>Trelora</v>
      </c>
      <c r="D12" s="78" t="str">
        <f>_xlfn.XLOOKUP(TransactionCalc[[#This Row],[SellAgentName]],Agent[AgentName],Agent[Office],"")</f>
        <v>HH</v>
      </c>
      <c r="E12" s="231" t="str">
        <f>IF(TransactionCalc[[#This Row],[ListAgentOffice]]="HH","Yes","No")</f>
        <v>No</v>
      </c>
      <c r="F12" s="80" t="str">
        <f>IF(TransactionCalc[[#This Row],[SellAgentOffice]]="HH","Yes","No")</f>
        <v>Yes</v>
      </c>
      <c r="G12" s="239">
        <f>IFERROR(TransactionCalc[[#This Row],[CommPct]]-TransactionCalc[[#This Row],[ListingCommPct]],0)</f>
        <v>0.03</v>
      </c>
      <c r="H12" s="237">
        <f>IFERROR(IF(TransactionCalc[[#This Row],[CommPct]]&gt;0,TransactionCalc[[#This Row],[SalePrice]]*TransactionCalc[[#This Row],[CommPct]],TransactionCalc[[#This Row],[CommFlatAmt]]),0)</f>
        <v>10800</v>
      </c>
      <c r="I12" s="238">
        <f>IF(_xlfn.XLOOKUP(TransactionCalc[[#This Row],[TransactionID]],TransactionFact[TransactionID],TransactionFact[FlatFee],"")="Yes",FlatFee,0)</f>
        <v>399</v>
      </c>
      <c r="J12" s="232">
        <f>IF(TransactionCalc[[#This Row],[HHListing]]="Yes",TransactionCalc[[#This Row],[ListingSideAmt]],0)+IF(TransactionCalc[[#This Row],[HHSale]]="Yes",TransactionCalc[[#This Row],[SaleSideAmt]],0)+TransactionCalc[[#This Row],[FlatFeeAmt]]</f>
        <v>11199</v>
      </c>
      <c r="K12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12" s="72" t="str">
        <f>_xlfn.XLOOKUP(TransactionCalc[[#This Row],[TransactionID]],TransactionFact[TransactionID],TransactionFact[ListAgentName],"")</f>
        <v>Matthew Kalogeras</v>
      </c>
      <c r="M12" s="72" t="str">
        <f>_xlfn.XLOOKUP(TransactionCalc[[#This Row],[TransactionID]],TransactionFact[TransactionID],TransactionFact[SellAgentName],"")</f>
        <v>Rachel Eastwood</v>
      </c>
      <c r="N12" s="82">
        <f>_xlfn.XLOOKUP(TransactionCalc[[#This Row],[TransactionID]],TransactionFact[TransactionID],TransactionFact[CommFlatAmt],"")</f>
        <v>0</v>
      </c>
      <c r="O12" s="236">
        <f>_xlfn.XLOOKUP(TransactionCalc[[#This Row],[TransactionID]],TransactionFact[TransactionID],TransactionFact[CommPct],"")</f>
        <v>0.03</v>
      </c>
      <c r="P12" s="236">
        <f>_xlfn.XLOOKUP(TransactionCalc[[#This Row],[TransactionID]],TransactionFact[TransactionID],TransactionFact[ListingCommPct],"")</f>
        <v>0</v>
      </c>
      <c r="Q12" s="82">
        <f>_xlfn.XLOOKUP(TransactionCalc[[#This Row],[TransactionID]],TransactionFact[TransactionID],TransactionFact[ListingSideAmt],"")</f>
        <v>0</v>
      </c>
      <c r="R12" s="82">
        <f>_xlfn.XLOOKUP(TransactionCalc[[#This Row],[TransactionID]],TransactionFact[TransactionID],TransactionFact[SaleSideAmt],"")</f>
        <v>10800</v>
      </c>
      <c r="S12" s="72" t="str">
        <f>_xlfn.XLOOKUP(TransactionCalc[[#This Row],[TransactionID]],TransactionFact[TransactionID],TransactionFact[FlatFee],"")</f>
        <v>Yes</v>
      </c>
      <c r="T12" s="82">
        <f>_xlfn.XLOOKUP(TransactionCalc[[#This Row],[TransactionID]],TransactionFact[TransactionID],TransactionFact[EMAmt],"")</f>
        <v>1000</v>
      </c>
      <c r="U12" s="72">
        <f>_xlfn.XLOOKUP(TransactionCalc[[#This Row],[TransactionID]],TransactionFact[TransactionID],TransactionFact[EMHold],"")</f>
        <v>0</v>
      </c>
      <c r="V12" s="72">
        <f>_xlfn.XLOOKUP(TransactionCalc[[#This Row],[TransactionID]],TransactionFact[TransactionID],TransactionFact[HomeWarranty],"")</f>
        <v>0</v>
      </c>
      <c r="W12" s="72">
        <f>_xlfn.XLOOKUP(TransactionCalc[[#This Row],[TransactionID]],TransactionFact[TransactionID],TransactionFact[HSA],"")</f>
        <v>0</v>
      </c>
      <c r="X12" s="72">
        <f>_xlfn.XLOOKUP(TransactionCalc[[#This Row],[TransactionID]],TransactionFact[TransactionID],TransactionFact[HWPay],"")</f>
        <v>0</v>
      </c>
      <c r="Y12" s="82">
        <f>_xlfn.XLOOKUP(TransactionCalc[[#This Row],[TransactionID]],TransactionFact[TransactionID],TransactionFact[SalePrice],"")</f>
        <v>360000</v>
      </c>
    </row>
    <row r="13" spans="1:25" x14ac:dyDescent="0.35">
      <c r="A13" s="56" t="s">
        <v>568</v>
      </c>
      <c r="B13" s="231" t="str">
        <f>_xlfn.XLOOKUP(TransactionCalc[[#This Row],[TransactionID]],TransactionFact[TransactionID],TransactionFact[Address],"")</f>
        <v>281 Park Pl, Wadsworth 44281</v>
      </c>
      <c r="C13" s="56" t="str">
        <f>_xlfn.XLOOKUP(TransactionCalc[[#This Row],[ListAgentName]],Agent[AgentName],Agent[Office],"")</f>
        <v>Keller</v>
      </c>
      <c r="D13" s="78" t="str">
        <f>_xlfn.XLOOKUP(TransactionCalc[[#This Row],[SellAgentName]],Agent[AgentName],Agent[Office],"")</f>
        <v>HH</v>
      </c>
      <c r="E13" s="231" t="str">
        <f>IF(TransactionCalc[[#This Row],[ListAgentOffice]]="HH","Yes","No")</f>
        <v>No</v>
      </c>
      <c r="F13" s="80" t="str">
        <f>IF(TransactionCalc[[#This Row],[SellAgentOffice]]="HH","Yes","No")</f>
        <v>Yes</v>
      </c>
      <c r="G13" s="239">
        <f>IFERROR(TransactionCalc[[#This Row],[CommPct]]-TransactionCalc[[#This Row],[ListingCommPct]],0)</f>
        <v>0.03</v>
      </c>
      <c r="H13" s="237">
        <f>IFERROR(IF(TransactionCalc[[#This Row],[CommPct]]&gt;0,TransactionCalc[[#This Row],[SalePrice]]*TransactionCalc[[#This Row],[CommPct]],TransactionCalc[[#This Row],[CommFlatAmt]]),0)</f>
        <v>7980</v>
      </c>
      <c r="I13" s="238">
        <f>IF(_xlfn.XLOOKUP(TransactionCalc[[#This Row],[TransactionID]],TransactionFact[TransactionID],TransactionFact[FlatFee],"")="Yes",FlatFee,0)</f>
        <v>399</v>
      </c>
      <c r="J13" s="232">
        <f>IF(TransactionCalc[[#This Row],[HHListing]]="Yes",TransactionCalc[[#This Row],[ListingSideAmt]],0)+IF(TransactionCalc[[#This Row],[HHSale]]="Yes",TransactionCalc[[#This Row],[SaleSideAmt]],0)+TransactionCalc[[#This Row],[FlatFeeAmt]]</f>
        <v>8379</v>
      </c>
      <c r="K13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13" s="72" t="str">
        <f>_xlfn.XLOOKUP(TransactionCalc[[#This Row],[TransactionID]],TransactionFact[TransactionID],TransactionFact[ListAgentName],"")</f>
        <v>Mark Metz</v>
      </c>
      <c r="M13" s="72" t="str">
        <f>_xlfn.XLOOKUP(TransactionCalc[[#This Row],[TransactionID]],TransactionFact[TransactionID],TransactionFact[SellAgentName],"")</f>
        <v>Karen/Milka</v>
      </c>
      <c r="N13" s="82">
        <f>_xlfn.XLOOKUP(TransactionCalc[[#This Row],[TransactionID]],TransactionFact[TransactionID],TransactionFact[CommFlatAmt],"")</f>
        <v>0</v>
      </c>
      <c r="O13" s="236">
        <f>_xlfn.XLOOKUP(TransactionCalc[[#This Row],[TransactionID]],TransactionFact[TransactionID],TransactionFact[CommPct],"")</f>
        <v>0.03</v>
      </c>
      <c r="P13" s="236">
        <f>_xlfn.XLOOKUP(TransactionCalc[[#This Row],[TransactionID]],TransactionFact[TransactionID],TransactionFact[ListingCommPct],"")</f>
        <v>0</v>
      </c>
      <c r="Q13" s="82">
        <f>_xlfn.XLOOKUP(TransactionCalc[[#This Row],[TransactionID]],TransactionFact[TransactionID],TransactionFact[ListingSideAmt],"")</f>
        <v>0</v>
      </c>
      <c r="R13" s="82">
        <f>_xlfn.XLOOKUP(TransactionCalc[[#This Row],[TransactionID]],TransactionFact[TransactionID],TransactionFact[SaleSideAmt],"")</f>
        <v>7980</v>
      </c>
      <c r="S13" s="72" t="str">
        <f>_xlfn.XLOOKUP(TransactionCalc[[#This Row],[TransactionID]],TransactionFact[TransactionID],TransactionFact[FlatFee],"")</f>
        <v>Yes</v>
      </c>
      <c r="T13" s="82">
        <f>_xlfn.XLOOKUP(TransactionCalc[[#This Row],[TransactionID]],TransactionFact[TransactionID],TransactionFact[EMAmt],"")</f>
        <v>2000</v>
      </c>
      <c r="U13" s="72">
        <f>_xlfn.XLOOKUP(TransactionCalc[[#This Row],[TransactionID]],TransactionFact[TransactionID],TransactionFact[EMHold],"")</f>
        <v>0</v>
      </c>
      <c r="V13" s="72">
        <f>_xlfn.XLOOKUP(TransactionCalc[[#This Row],[TransactionID]],TransactionFact[TransactionID],TransactionFact[HomeWarranty],"")</f>
        <v>0</v>
      </c>
      <c r="W13" s="72">
        <f>_xlfn.XLOOKUP(TransactionCalc[[#This Row],[TransactionID]],TransactionFact[TransactionID],TransactionFact[HSA],"")</f>
        <v>0</v>
      </c>
      <c r="X13" s="72">
        <f>_xlfn.XLOOKUP(TransactionCalc[[#This Row],[TransactionID]],TransactionFact[TransactionID],TransactionFact[HWPay],"")</f>
        <v>0</v>
      </c>
      <c r="Y13" s="82">
        <f>_xlfn.XLOOKUP(TransactionCalc[[#This Row],[TransactionID]],TransactionFact[TransactionID],TransactionFact[SalePrice],"")</f>
        <v>266000</v>
      </c>
    </row>
    <row r="14" spans="1:25" x14ac:dyDescent="0.35">
      <c r="A14" s="56" t="s">
        <v>470</v>
      </c>
      <c r="B14" s="231" t="str">
        <f>_xlfn.XLOOKUP(TransactionCalc[[#This Row],[TransactionID]],TransactionFact[TransactionID],TransactionFact[Address],"")</f>
        <v>92 30th, Barberton 44203</v>
      </c>
      <c r="C14" s="56" t="str">
        <f>_xlfn.XLOOKUP(TransactionCalc[[#This Row],[ListAgentName]],Agent[AgentName],Agent[Office],"")</f>
        <v>HH</v>
      </c>
      <c r="D14" s="78" t="str">
        <f>_xlfn.XLOOKUP(TransactionCalc[[#This Row],[SellAgentName]],Agent[AgentName],Agent[Office],"")</f>
        <v>Keller</v>
      </c>
      <c r="E14" s="231" t="str">
        <f>IF(TransactionCalc[[#This Row],[ListAgentOffice]]="HH","Yes","No")</f>
        <v>Yes</v>
      </c>
      <c r="F14" s="80" t="str">
        <f>IF(TransactionCalc[[#This Row],[SellAgentOffice]]="HH","Yes","No")</f>
        <v>No</v>
      </c>
      <c r="G14" s="239">
        <f>IFERROR(TransactionCalc[[#This Row],[CommPct]]-TransactionCalc[[#This Row],[ListingCommPct]],0)</f>
        <v>0.03</v>
      </c>
      <c r="H14" s="237">
        <f>IFERROR(IF(TransactionCalc[[#This Row],[CommPct]]&gt;0,TransactionCalc[[#This Row],[SalePrice]]*TransactionCalc[[#This Row],[CommPct]],TransactionCalc[[#This Row],[CommFlatAmt]]),0)</f>
        <v>12545</v>
      </c>
      <c r="I14" s="238">
        <f>IF(_xlfn.XLOOKUP(TransactionCalc[[#This Row],[TransactionID]],TransactionFact[TransactionID],TransactionFact[FlatFee],"")="Yes",FlatFee,0)</f>
        <v>399</v>
      </c>
      <c r="J14" s="232">
        <f>IF(TransactionCalc[[#This Row],[HHListing]]="Yes",TransactionCalc[[#This Row],[ListingSideAmt]],0)+IF(TransactionCalc[[#This Row],[HHSale]]="Yes",TransactionCalc[[#This Row],[SaleSideAmt]],0)+TransactionCalc[[#This Row],[FlatFeeAmt]]</f>
        <v>7154.0000000000009</v>
      </c>
      <c r="K14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14" s="72" t="str">
        <f>_xlfn.XLOOKUP(TransactionCalc[[#This Row],[TransactionID]],TransactionFact[TransactionID],TransactionFact[ListAgentName],"")</f>
        <v>Eric Yetzer</v>
      </c>
      <c r="M14" s="72" t="str">
        <f>_xlfn.XLOOKUP(TransactionCalc[[#This Row],[TransactionID]],TransactionFact[TransactionID],TransactionFact[SellAgentName],"")</f>
        <v>Mark Metz</v>
      </c>
      <c r="N14" s="82">
        <f>_xlfn.XLOOKUP(TransactionCalc[[#This Row],[TransactionID]],TransactionFact[TransactionID],TransactionFact[CommFlatAmt],"")</f>
        <v>0</v>
      </c>
      <c r="O14" s="236">
        <f>_xlfn.XLOOKUP(TransactionCalc[[#This Row],[TransactionID]],TransactionFact[TransactionID],TransactionFact[CommPct],"")</f>
        <v>6.5000000000000002E-2</v>
      </c>
      <c r="P14" s="236">
        <f>_xlfn.XLOOKUP(TransactionCalc[[#This Row],[TransactionID]],TransactionFact[TransactionID],TransactionFact[ListingCommPct],"")</f>
        <v>3.5000000000000003E-2</v>
      </c>
      <c r="Q14" s="82">
        <f>_xlfn.XLOOKUP(TransactionCalc[[#This Row],[TransactionID]],TransactionFact[TransactionID],TransactionFact[ListingSideAmt],"")</f>
        <v>6755.0000000000009</v>
      </c>
      <c r="R14" s="82">
        <f>_xlfn.XLOOKUP(TransactionCalc[[#This Row],[TransactionID]],TransactionFact[TransactionID],TransactionFact[SaleSideAmt],"")</f>
        <v>5790</v>
      </c>
      <c r="S14" s="72" t="str">
        <f>_xlfn.XLOOKUP(TransactionCalc[[#This Row],[TransactionID]],TransactionFact[TransactionID],TransactionFact[FlatFee],"")</f>
        <v>Yes</v>
      </c>
      <c r="T14" s="82">
        <f>_xlfn.XLOOKUP(TransactionCalc[[#This Row],[TransactionID]],TransactionFact[TransactionID],TransactionFact[EMAmt],"")</f>
        <v>0</v>
      </c>
      <c r="U14" s="72">
        <f>_xlfn.XLOOKUP(TransactionCalc[[#This Row],[TransactionID]],TransactionFact[TransactionID],TransactionFact[EMHold],"")</f>
        <v>0</v>
      </c>
      <c r="V14" s="72">
        <f>_xlfn.XLOOKUP(TransactionCalc[[#This Row],[TransactionID]],TransactionFact[TransactionID],TransactionFact[HomeWarranty],"")</f>
        <v>0</v>
      </c>
      <c r="W14" s="72">
        <f>_xlfn.XLOOKUP(TransactionCalc[[#This Row],[TransactionID]],TransactionFact[TransactionID],TransactionFact[HSA],"")</f>
        <v>0</v>
      </c>
      <c r="X14" s="72">
        <f>_xlfn.XLOOKUP(TransactionCalc[[#This Row],[TransactionID]],TransactionFact[TransactionID],TransactionFact[HWPay],"")</f>
        <v>0</v>
      </c>
      <c r="Y14" s="82">
        <f>_xlfn.XLOOKUP(TransactionCalc[[#This Row],[TransactionID]],TransactionFact[TransactionID],TransactionFact[SalePrice],"")</f>
        <v>193000</v>
      </c>
    </row>
    <row r="15" spans="1:25" x14ac:dyDescent="0.35">
      <c r="A15" s="56" t="s">
        <v>569</v>
      </c>
      <c r="B15" s="231" t="str">
        <f>_xlfn.XLOOKUP(TransactionCalc[[#This Row],[TransactionID]],TransactionFact[TransactionID],TransactionFact[Address],"")</f>
        <v>455 Barrenwood, Wadsworth 44281</v>
      </c>
      <c r="C15" s="56" t="str">
        <f>_xlfn.XLOOKUP(TransactionCalc[[#This Row],[ListAgentName]],Agent[AgentName],Agent[Office],"")</f>
        <v>HH</v>
      </c>
      <c r="D15" s="78" t="str">
        <f>_xlfn.XLOOKUP(TransactionCalc[[#This Row],[SellAgentName]],Agent[AgentName],Agent[Office],"")</f>
        <v>Keller</v>
      </c>
      <c r="E15" s="231" t="str">
        <f>IF(TransactionCalc[[#This Row],[ListAgentOffice]]="HH","Yes","No")</f>
        <v>Yes</v>
      </c>
      <c r="F15" s="80" t="str">
        <f>IF(TransactionCalc[[#This Row],[SellAgentOffice]]="HH","Yes","No")</f>
        <v>No</v>
      </c>
      <c r="G15" s="239">
        <f>IFERROR(TransactionCalc[[#This Row],[CommPct]]-TransactionCalc[[#This Row],[ListingCommPct]],0)</f>
        <v>0.02</v>
      </c>
      <c r="H15" s="237">
        <f>IFERROR(IF(TransactionCalc[[#This Row],[CommPct]]&gt;0,TransactionCalc[[#This Row],[SalePrice]]*TransactionCalc[[#This Row],[CommPct]],TransactionCalc[[#This Row],[CommFlatAmt]]),0)</f>
        <v>14490</v>
      </c>
      <c r="I15" s="238">
        <f>IF(_xlfn.XLOOKUP(TransactionCalc[[#This Row],[TransactionID]],TransactionFact[TransactionID],TransactionFact[FlatFee],"")="Yes",FlatFee,0)</f>
        <v>399</v>
      </c>
      <c r="J15" s="232">
        <f>IF(TransactionCalc[[#This Row],[HHListing]]="Yes",TransactionCalc[[#This Row],[ListingSideAmt]],0)+IF(TransactionCalc[[#This Row],[HHSale]]="Yes",TransactionCalc[[#This Row],[SaleSideAmt]],0)+TransactionCalc[[#This Row],[FlatFeeAmt]]</f>
        <v>8589</v>
      </c>
      <c r="K15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15" s="72" t="str">
        <f>_xlfn.XLOOKUP(TransactionCalc[[#This Row],[TransactionID]],TransactionFact[TransactionID],TransactionFact[ListAgentName],"")</f>
        <v>Rebbecca Tessanne</v>
      </c>
      <c r="M15" s="72" t="str">
        <f>_xlfn.XLOOKUP(TransactionCalc[[#This Row],[TransactionID]],TransactionFact[TransactionID],TransactionFact[SellAgentName],"")</f>
        <v>Oleg Bosovic</v>
      </c>
      <c r="N15" s="82">
        <f>_xlfn.XLOOKUP(TransactionCalc[[#This Row],[TransactionID]],TransactionFact[TransactionID],TransactionFact[CommFlatAmt],"")</f>
        <v>0</v>
      </c>
      <c r="O15" s="236">
        <f>_xlfn.XLOOKUP(TransactionCalc[[#This Row],[TransactionID]],TransactionFact[TransactionID],TransactionFact[CommPct],"")</f>
        <v>4.5999999999999999E-2</v>
      </c>
      <c r="P15" s="236">
        <f>_xlfn.XLOOKUP(TransactionCalc[[#This Row],[TransactionID]],TransactionFact[TransactionID],TransactionFact[ListingCommPct],"")</f>
        <v>2.5999999999999999E-2</v>
      </c>
      <c r="Q15" s="82">
        <f>_xlfn.XLOOKUP(TransactionCalc[[#This Row],[TransactionID]],TransactionFact[TransactionID],TransactionFact[ListingSideAmt],"")</f>
        <v>8190</v>
      </c>
      <c r="R15" s="82">
        <f>_xlfn.XLOOKUP(TransactionCalc[[#This Row],[TransactionID]],TransactionFact[TransactionID],TransactionFact[SaleSideAmt],"")</f>
        <v>6300</v>
      </c>
      <c r="S15" s="72" t="str">
        <f>_xlfn.XLOOKUP(TransactionCalc[[#This Row],[TransactionID]],TransactionFact[TransactionID],TransactionFact[FlatFee],"")</f>
        <v>Yes</v>
      </c>
      <c r="T15" s="82">
        <f>_xlfn.XLOOKUP(TransactionCalc[[#This Row],[TransactionID]],TransactionFact[TransactionID],TransactionFact[EMAmt],"")</f>
        <v>0</v>
      </c>
      <c r="U15" s="72">
        <f>_xlfn.XLOOKUP(TransactionCalc[[#This Row],[TransactionID]],TransactionFact[TransactionID],TransactionFact[EMHold],"")</f>
        <v>0</v>
      </c>
      <c r="V15" s="72">
        <f>_xlfn.XLOOKUP(TransactionCalc[[#This Row],[TransactionID]],TransactionFact[TransactionID],TransactionFact[HomeWarranty],"")</f>
        <v>0</v>
      </c>
      <c r="W15" s="72">
        <f>_xlfn.XLOOKUP(TransactionCalc[[#This Row],[TransactionID]],TransactionFact[TransactionID],TransactionFact[HSA],"")</f>
        <v>0</v>
      </c>
      <c r="X15" s="72">
        <f>_xlfn.XLOOKUP(TransactionCalc[[#This Row],[TransactionID]],TransactionFact[TransactionID],TransactionFact[HWPay],"")</f>
        <v>0</v>
      </c>
      <c r="Y15" s="82">
        <f>_xlfn.XLOOKUP(TransactionCalc[[#This Row],[TransactionID]],TransactionFact[TransactionID],TransactionFact[SalePrice],"")</f>
        <v>315000</v>
      </c>
    </row>
    <row r="16" spans="1:25" x14ac:dyDescent="0.35">
      <c r="A16" s="56" t="s">
        <v>570</v>
      </c>
      <c r="B16" s="231" t="str">
        <f>_xlfn.XLOOKUP(TransactionCalc[[#This Row],[TransactionID]],TransactionFact[TransactionID],TransactionFact[Address],"")</f>
        <v>5052 Catawba, Seville 44273</v>
      </c>
      <c r="C16" s="56" t="str">
        <f>_xlfn.XLOOKUP(TransactionCalc[[#This Row],[ListAgentName]],Agent[AgentName],Agent[Office],"")</f>
        <v>HH</v>
      </c>
      <c r="D16" s="78" t="str">
        <f>_xlfn.XLOOKUP(TransactionCalc[[#This Row],[SellAgentName]],Agent[AgentName],Agent[Office],"")</f>
        <v>Coldwell</v>
      </c>
      <c r="E16" s="231" t="str">
        <f>IF(TransactionCalc[[#This Row],[ListAgentOffice]]="HH","Yes","No")</f>
        <v>Yes</v>
      </c>
      <c r="F16" s="80" t="str">
        <f>IF(TransactionCalc[[#This Row],[SellAgentOffice]]="HH","Yes","No")</f>
        <v>No</v>
      </c>
      <c r="G16" s="239">
        <f>IFERROR(TransactionCalc[[#This Row],[CommPct]]-TransactionCalc[[#This Row],[ListingCommPct]],0)</f>
        <v>0.03</v>
      </c>
      <c r="H16" s="237">
        <f>IFERROR(IF(TransactionCalc[[#This Row],[CommPct]]&gt;0,TransactionCalc[[#This Row],[SalePrice]]*TransactionCalc[[#This Row],[CommPct]],TransactionCalc[[#This Row],[CommFlatAmt]]),0)</f>
        <v>21900</v>
      </c>
      <c r="I16" s="238">
        <f>IF(_xlfn.XLOOKUP(TransactionCalc[[#This Row],[TransactionID]],TransactionFact[TransactionID],TransactionFact[FlatFee],"")="Yes",FlatFee,0)</f>
        <v>0</v>
      </c>
      <c r="J16" s="232">
        <f>IF(TransactionCalc[[#This Row],[HHListing]]="Yes",TransactionCalc[[#This Row],[ListingSideAmt]],0)+IF(TransactionCalc[[#This Row],[HHSale]]="Yes",TransactionCalc[[#This Row],[SaleSideAmt]],0)+TransactionCalc[[#This Row],[FlatFeeAmt]]</f>
        <v>10950</v>
      </c>
      <c r="K16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16" s="72" t="str">
        <f>_xlfn.XLOOKUP(TransactionCalc[[#This Row],[TransactionID]],TransactionFact[TransactionID],TransactionFact[ListAgentName],"")</f>
        <v>Eric Yetzer</v>
      </c>
      <c r="M16" s="72" t="str">
        <f>_xlfn.XLOOKUP(TransactionCalc[[#This Row],[TransactionID]],TransactionFact[TransactionID],TransactionFact[SellAgentName],"")</f>
        <v>Shelly Booth</v>
      </c>
      <c r="N16" s="82">
        <f>_xlfn.XLOOKUP(TransactionCalc[[#This Row],[TransactionID]],TransactionFact[TransactionID],TransactionFact[CommFlatAmt],"")</f>
        <v>0</v>
      </c>
      <c r="O16" s="236">
        <f>_xlfn.XLOOKUP(TransactionCalc[[#This Row],[TransactionID]],TransactionFact[TransactionID],TransactionFact[CommPct],"")</f>
        <v>0.06</v>
      </c>
      <c r="P16" s="236">
        <f>_xlfn.XLOOKUP(TransactionCalc[[#This Row],[TransactionID]],TransactionFact[TransactionID],TransactionFact[ListingCommPct],"")</f>
        <v>0.03</v>
      </c>
      <c r="Q16" s="82">
        <f>_xlfn.XLOOKUP(TransactionCalc[[#This Row],[TransactionID]],TransactionFact[TransactionID],TransactionFact[ListingSideAmt],"")</f>
        <v>10950</v>
      </c>
      <c r="R16" s="82">
        <f>_xlfn.XLOOKUP(TransactionCalc[[#This Row],[TransactionID]],TransactionFact[TransactionID],TransactionFact[SaleSideAmt],"")</f>
        <v>10950</v>
      </c>
      <c r="S16" s="72" t="str">
        <f>_xlfn.XLOOKUP(TransactionCalc[[#This Row],[TransactionID]],TransactionFact[TransactionID],TransactionFact[FlatFee],"")</f>
        <v>No</v>
      </c>
      <c r="T16" s="82">
        <f>_xlfn.XLOOKUP(TransactionCalc[[#This Row],[TransactionID]],TransactionFact[TransactionID],TransactionFact[EMAmt],"")</f>
        <v>0</v>
      </c>
      <c r="U16" s="72">
        <f>_xlfn.XLOOKUP(TransactionCalc[[#This Row],[TransactionID]],TransactionFact[TransactionID],TransactionFact[EMHold],"")</f>
        <v>0</v>
      </c>
      <c r="V16" s="72">
        <f>_xlfn.XLOOKUP(TransactionCalc[[#This Row],[TransactionID]],TransactionFact[TransactionID],TransactionFact[HomeWarranty],"")</f>
        <v>0</v>
      </c>
      <c r="W16" s="72">
        <f>_xlfn.XLOOKUP(TransactionCalc[[#This Row],[TransactionID]],TransactionFact[TransactionID],TransactionFact[HSA],"")</f>
        <v>0</v>
      </c>
      <c r="X16" s="72">
        <f>_xlfn.XLOOKUP(TransactionCalc[[#This Row],[TransactionID]],TransactionFact[TransactionID],TransactionFact[HWPay],"")</f>
        <v>0</v>
      </c>
      <c r="Y16" s="82">
        <f>_xlfn.XLOOKUP(TransactionCalc[[#This Row],[TransactionID]],TransactionFact[TransactionID],TransactionFact[SalePrice],"")</f>
        <v>365000</v>
      </c>
    </row>
    <row r="17" spans="1:25" x14ac:dyDescent="0.35">
      <c r="A17" s="56" t="s">
        <v>571</v>
      </c>
      <c r="B17" s="231" t="str">
        <f>_xlfn.XLOOKUP(TransactionCalc[[#This Row],[TransactionID]],TransactionFact[TransactionID],TransactionFact[Address],"")</f>
        <v>216 N. Lyman, Wadsworth 44281</v>
      </c>
      <c r="C17" s="56" t="str">
        <f>_xlfn.XLOOKUP(TransactionCalc[[#This Row],[ListAgentName]],Agent[AgentName],Agent[Office],"")</f>
        <v>HH</v>
      </c>
      <c r="D17" s="78" t="str">
        <f>_xlfn.XLOOKUP(TransactionCalc[[#This Row],[SellAgentName]],Agent[AgentName],Agent[Office],"")</f>
        <v>Keller</v>
      </c>
      <c r="E17" s="231" t="str">
        <f>IF(TransactionCalc[[#This Row],[ListAgentOffice]]="HH","Yes","No")</f>
        <v>Yes</v>
      </c>
      <c r="F17" s="80" t="str">
        <f>IF(TransactionCalc[[#This Row],[SellAgentOffice]]="HH","Yes","No")</f>
        <v>No</v>
      </c>
      <c r="G17" s="239">
        <f>IFERROR(TransactionCalc[[#This Row],[CommPct]]-TransactionCalc[[#This Row],[ListingCommPct]],0)</f>
        <v>0.06</v>
      </c>
      <c r="H17" s="237">
        <f>IFERROR(IF(TransactionCalc[[#This Row],[CommPct]]&gt;0,TransactionCalc[[#This Row],[SalePrice]]*TransactionCalc[[#This Row],[CommPct]],TransactionCalc[[#This Row],[CommFlatAmt]]),0)</f>
        <v>14100</v>
      </c>
      <c r="I17" s="238">
        <f>IF(_xlfn.XLOOKUP(TransactionCalc[[#This Row],[TransactionID]],TransactionFact[TransactionID],TransactionFact[FlatFee],"")="Yes",FlatFee,0)</f>
        <v>399</v>
      </c>
      <c r="J17" s="232">
        <f>IF(TransactionCalc[[#This Row],[HHListing]]="Yes",TransactionCalc[[#This Row],[ListingSideAmt]],0)+IF(TransactionCalc[[#This Row],[HHSale]]="Yes",TransactionCalc[[#This Row],[SaleSideAmt]],0)+TransactionCalc[[#This Row],[FlatFeeAmt]]</f>
        <v>399</v>
      </c>
      <c r="K17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17" s="72" t="str">
        <f>_xlfn.XLOOKUP(TransactionCalc[[#This Row],[TransactionID]],TransactionFact[TransactionID],TransactionFact[ListAgentName],"")</f>
        <v>Ron Ho</v>
      </c>
      <c r="M17" s="72" t="str">
        <f>_xlfn.XLOOKUP(TransactionCalc[[#This Row],[TransactionID]],TransactionFact[TransactionID],TransactionFact[SellAgentName],"")</f>
        <v>Autumn Moore</v>
      </c>
      <c r="N17" s="82">
        <f>_xlfn.XLOOKUP(TransactionCalc[[#This Row],[TransactionID]],TransactionFact[TransactionID],TransactionFact[CommFlatAmt],"")</f>
        <v>0</v>
      </c>
      <c r="O17" s="236">
        <f>_xlfn.XLOOKUP(TransactionCalc[[#This Row],[TransactionID]],TransactionFact[TransactionID],TransactionFact[CommPct],"")</f>
        <v>0.06</v>
      </c>
      <c r="P17" s="236">
        <f>_xlfn.XLOOKUP(TransactionCalc[[#This Row],[TransactionID]],TransactionFact[TransactionID],TransactionFact[ListingCommPct],"")</f>
        <v>0</v>
      </c>
      <c r="Q17" s="82">
        <f>_xlfn.XLOOKUP(TransactionCalc[[#This Row],[TransactionID]],TransactionFact[TransactionID],TransactionFact[ListingSideAmt],"")</f>
        <v>0</v>
      </c>
      <c r="R17" s="82">
        <f>_xlfn.XLOOKUP(TransactionCalc[[#This Row],[TransactionID]],TransactionFact[TransactionID],TransactionFact[SaleSideAmt],"")</f>
        <v>14100</v>
      </c>
      <c r="S17" s="72" t="str">
        <f>_xlfn.XLOOKUP(TransactionCalc[[#This Row],[TransactionID]],TransactionFact[TransactionID],TransactionFact[FlatFee],"")</f>
        <v>Yes</v>
      </c>
      <c r="T17" s="82">
        <f>_xlfn.XLOOKUP(TransactionCalc[[#This Row],[TransactionID]],TransactionFact[TransactionID],TransactionFact[EMAmt],"")</f>
        <v>0</v>
      </c>
      <c r="U17" s="72">
        <f>_xlfn.XLOOKUP(TransactionCalc[[#This Row],[TransactionID]],TransactionFact[TransactionID],TransactionFact[EMHold],"")</f>
        <v>0</v>
      </c>
      <c r="V17" s="72">
        <f>_xlfn.XLOOKUP(TransactionCalc[[#This Row],[TransactionID]],TransactionFact[TransactionID],TransactionFact[HomeWarranty],"")</f>
        <v>0</v>
      </c>
      <c r="W17" s="72">
        <f>_xlfn.XLOOKUP(TransactionCalc[[#This Row],[TransactionID]],TransactionFact[TransactionID],TransactionFact[HSA],"")</f>
        <v>0</v>
      </c>
      <c r="X17" s="72">
        <f>_xlfn.XLOOKUP(TransactionCalc[[#This Row],[TransactionID]],TransactionFact[TransactionID],TransactionFact[HWPay],"")</f>
        <v>0</v>
      </c>
      <c r="Y17" s="82">
        <f>_xlfn.XLOOKUP(TransactionCalc[[#This Row],[TransactionID]],TransactionFact[TransactionID],TransactionFact[SalePrice],"")</f>
        <v>235000</v>
      </c>
    </row>
    <row r="18" spans="1:25" x14ac:dyDescent="0.35">
      <c r="A18" s="56" t="s">
        <v>572</v>
      </c>
      <c r="B18" s="231" t="str">
        <f>_xlfn.XLOOKUP(TransactionCalc[[#This Row],[TransactionID]],TransactionFact[TransactionID],TransactionFact[Address],"")</f>
        <v>6407 Southview, Clinton 44216</v>
      </c>
      <c r="C18" s="56" t="str">
        <f>_xlfn.XLOOKUP(TransactionCalc[[#This Row],[ListAgentName]],Agent[AgentName],Agent[Office],"")</f>
        <v>HH</v>
      </c>
      <c r="D18" s="78" t="str">
        <f>_xlfn.XLOOKUP(TransactionCalc[[#This Row],[SellAgentName]],Agent[AgentName],Agent[Office],"")</f>
        <v>HH</v>
      </c>
      <c r="E18" s="231" t="str">
        <f>IF(TransactionCalc[[#This Row],[ListAgentOffice]]="HH","Yes","No")</f>
        <v>Yes</v>
      </c>
      <c r="F18" s="80" t="str">
        <f>IF(TransactionCalc[[#This Row],[SellAgentOffice]]="HH","Yes","No")</f>
        <v>Yes</v>
      </c>
      <c r="G18" s="239">
        <f>IFERROR(TransactionCalc[[#This Row],[CommPct]]-TransactionCalc[[#This Row],[ListingCommPct]],0)</f>
        <v>1.4999999999999999E-2</v>
      </c>
      <c r="H18" s="237">
        <f>IFERROR(IF(TransactionCalc[[#This Row],[CommPct]]&gt;0,TransactionCalc[[#This Row],[SalePrice]]*TransactionCalc[[#This Row],[CommPct]],TransactionCalc[[#This Row],[CommFlatAmt]]),0)</f>
        <v>10240</v>
      </c>
      <c r="I18" s="238">
        <f>IF(_xlfn.XLOOKUP(TransactionCalc[[#This Row],[TransactionID]],TransactionFact[TransactionID],TransactionFact[FlatFee],"")="Yes",FlatFee,0)</f>
        <v>399</v>
      </c>
      <c r="J18" s="232">
        <f>IF(TransactionCalc[[#This Row],[HHListing]]="Yes",TransactionCalc[[#This Row],[ListingSideAmt]],0)+IF(TransactionCalc[[#This Row],[HHSale]]="Yes",TransactionCalc[[#This Row],[SaleSideAmt]],0)+TransactionCalc[[#This Row],[FlatFeeAmt]]</f>
        <v>10639</v>
      </c>
      <c r="K18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18" s="72" t="str">
        <f>_xlfn.XLOOKUP(TransactionCalc[[#This Row],[TransactionID]],TransactionFact[TransactionID],TransactionFact[ListAgentName],"")</f>
        <v>Vicky &amp; Beth</v>
      </c>
      <c r="M18" s="72" t="str">
        <f>_xlfn.XLOOKUP(TransactionCalc[[#This Row],[TransactionID]],TransactionFact[TransactionID],TransactionFact[SellAgentName],"")</f>
        <v>Vicky &amp; Beth</v>
      </c>
      <c r="N18" s="82">
        <f>_xlfn.XLOOKUP(TransactionCalc[[#This Row],[TransactionID]],TransactionFact[TransactionID],TransactionFact[CommFlatAmt],"")</f>
        <v>0</v>
      </c>
      <c r="O18" s="236">
        <f>_xlfn.XLOOKUP(TransactionCalc[[#This Row],[TransactionID]],TransactionFact[TransactionID],TransactionFact[CommPct],"")</f>
        <v>0.04</v>
      </c>
      <c r="P18" s="236">
        <f>_xlfn.XLOOKUP(TransactionCalc[[#This Row],[TransactionID]],TransactionFact[TransactionID],TransactionFact[ListingCommPct],"")</f>
        <v>2.5000000000000001E-2</v>
      </c>
      <c r="Q18" s="82">
        <f>_xlfn.XLOOKUP(TransactionCalc[[#This Row],[TransactionID]],TransactionFact[TransactionID],TransactionFact[ListingSideAmt],"")</f>
        <v>6400</v>
      </c>
      <c r="R18" s="82">
        <f>_xlfn.XLOOKUP(TransactionCalc[[#This Row],[TransactionID]],TransactionFact[TransactionID],TransactionFact[SaleSideAmt],"")</f>
        <v>3840</v>
      </c>
      <c r="S18" s="72" t="str">
        <f>_xlfn.XLOOKUP(TransactionCalc[[#This Row],[TransactionID]],TransactionFact[TransactionID],TransactionFact[FlatFee],"")</f>
        <v>Yes</v>
      </c>
      <c r="T18" s="82">
        <f>_xlfn.XLOOKUP(TransactionCalc[[#This Row],[TransactionID]],TransactionFact[TransactionID],TransactionFact[EMAmt],"")</f>
        <v>0</v>
      </c>
      <c r="U18" s="72">
        <f>_xlfn.XLOOKUP(TransactionCalc[[#This Row],[TransactionID]],TransactionFact[TransactionID],TransactionFact[EMHold],"")</f>
        <v>0</v>
      </c>
      <c r="V18" s="72">
        <f>_xlfn.XLOOKUP(TransactionCalc[[#This Row],[TransactionID]],TransactionFact[TransactionID],TransactionFact[HomeWarranty],"")</f>
        <v>0</v>
      </c>
      <c r="W18" s="72">
        <f>_xlfn.XLOOKUP(TransactionCalc[[#This Row],[TransactionID]],TransactionFact[TransactionID],TransactionFact[HSA],"")</f>
        <v>0</v>
      </c>
      <c r="X18" s="72">
        <f>_xlfn.XLOOKUP(TransactionCalc[[#This Row],[TransactionID]],TransactionFact[TransactionID],TransactionFact[HWPay],"")</f>
        <v>0</v>
      </c>
      <c r="Y18" s="82">
        <f>_xlfn.XLOOKUP(TransactionCalc[[#This Row],[TransactionID]],TransactionFact[TransactionID],TransactionFact[SalePrice],"")</f>
        <v>256000</v>
      </c>
    </row>
    <row r="19" spans="1:25" x14ac:dyDescent="0.35">
      <c r="A19" s="56" t="s">
        <v>573</v>
      </c>
      <c r="B19" s="231" t="str">
        <f>_xlfn.XLOOKUP(TransactionCalc[[#This Row],[TransactionID]],TransactionFact[TransactionID],TransactionFact[Address],"")</f>
        <v>1821 Myersville, Akron 44312</v>
      </c>
      <c r="C19" s="56" t="str">
        <f>_xlfn.XLOOKUP(TransactionCalc[[#This Row],[ListAgentName]],Agent[AgentName],Agent[Office],"")</f>
        <v>Remax</v>
      </c>
      <c r="D19" s="78" t="str">
        <f>_xlfn.XLOOKUP(TransactionCalc[[#This Row],[SellAgentName]],Agent[AgentName],Agent[Office],"")</f>
        <v>HH</v>
      </c>
      <c r="E19" s="231" t="str">
        <f>IF(TransactionCalc[[#This Row],[ListAgentOffice]]="HH","Yes","No")</f>
        <v>No</v>
      </c>
      <c r="F19" s="80" t="str">
        <f>IF(TransactionCalc[[#This Row],[SellAgentOffice]]="HH","Yes","No")</f>
        <v>Yes</v>
      </c>
      <c r="G19" s="239">
        <f>IFERROR(TransactionCalc[[#This Row],[CommPct]]-TransactionCalc[[#This Row],[ListingCommPct]],0)</f>
        <v>0.02</v>
      </c>
      <c r="H19" s="237">
        <f>IFERROR(IF(TransactionCalc[[#This Row],[CommPct]]&gt;0,TransactionCalc[[#This Row],[SalePrice]]*TransactionCalc[[#This Row],[CommPct]],TransactionCalc[[#This Row],[CommFlatAmt]]),0)</f>
        <v>6600</v>
      </c>
      <c r="I19" s="238">
        <f>IF(_xlfn.XLOOKUP(TransactionCalc[[#This Row],[TransactionID]],TransactionFact[TransactionID],TransactionFact[FlatFee],"")="Yes",FlatFee,0)</f>
        <v>399</v>
      </c>
      <c r="J19" s="232">
        <f>IF(TransactionCalc[[#This Row],[HHListing]]="Yes",TransactionCalc[[#This Row],[ListingSideAmt]],0)+IF(TransactionCalc[[#This Row],[HHSale]]="Yes",TransactionCalc[[#This Row],[SaleSideAmt]],0)+TransactionCalc[[#This Row],[FlatFeeAmt]]</f>
        <v>6999</v>
      </c>
      <c r="K19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19" s="72" t="str">
        <f>_xlfn.XLOOKUP(TransactionCalc[[#This Row],[TransactionID]],TransactionFact[TransactionID],TransactionFact[ListAgentName],"")</f>
        <v>Lenny Herbert</v>
      </c>
      <c r="M19" s="72" t="str">
        <f>_xlfn.XLOOKUP(TransactionCalc[[#This Row],[TransactionID]],TransactionFact[TransactionID],TransactionFact[SellAgentName],"")</f>
        <v>Vicky &amp; Beth (Shelly)</v>
      </c>
      <c r="N19" s="82">
        <f>_xlfn.XLOOKUP(TransactionCalc[[#This Row],[TransactionID]],TransactionFact[TransactionID],TransactionFact[CommFlatAmt],"")</f>
        <v>0</v>
      </c>
      <c r="O19" s="236">
        <f>_xlfn.XLOOKUP(TransactionCalc[[#This Row],[TransactionID]],TransactionFact[TransactionID],TransactionFact[CommPct],"")</f>
        <v>0.02</v>
      </c>
      <c r="P19" s="236">
        <f>_xlfn.XLOOKUP(TransactionCalc[[#This Row],[TransactionID]],TransactionFact[TransactionID],TransactionFact[ListingCommPct],"")</f>
        <v>0</v>
      </c>
      <c r="Q19" s="82">
        <f>_xlfn.XLOOKUP(TransactionCalc[[#This Row],[TransactionID]],TransactionFact[TransactionID],TransactionFact[ListingSideAmt],"")</f>
        <v>0</v>
      </c>
      <c r="R19" s="82">
        <f>_xlfn.XLOOKUP(TransactionCalc[[#This Row],[TransactionID]],TransactionFact[TransactionID],TransactionFact[SaleSideAmt],"")</f>
        <v>6600</v>
      </c>
      <c r="S19" s="72" t="str">
        <f>_xlfn.XLOOKUP(TransactionCalc[[#This Row],[TransactionID]],TransactionFact[TransactionID],TransactionFact[FlatFee],"")</f>
        <v>Yes</v>
      </c>
      <c r="T19" s="82">
        <f>_xlfn.XLOOKUP(TransactionCalc[[#This Row],[TransactionID]],TransactionFact[TransactionID],TransactionFact[EMAmt],"")</f>
        <v>1000</v>
      </c>
      <c r="U19" s="72">
        <f>_xlfn.XLOOKUP(TransactionCalc[[#This Row],[TransactionID]],TransactionFact[TransactionID],TransactionFact[EMHold],"")</f>
        <v>0</v>
      </c>
      <c r="V19" s="72">
        <f>_xlfn.XLOOKUP(TransactionCalc[[#This Row],[TransactionID]],TransactionFact[TransactionID],TransactionFact[HomeWarranty],"")</f>
        <v>0</v>
      </c>
      <c r="W19" s="72">
        <f>_xlfn.XLOOKUP(TransactionCalc[[#This Row],[TransactionID]],TransactionFact[TransactionID],TransactionFact[HSA],"")</f>
        <v>0</v>
      </c>
      <c r="X19" s="72">
        <f>_xlfn.XLOOKUP(TransactionCalc[[#This Row],[TransactionID]],TransactionFact[TransactionID],TransactionFact[HWPay],"")</f>
        <v>0</v>
      </c>
      <c r="Y19" s="82">
        <f>_xlfn.XLOOKUP(TransactionCalc[[#This Row],[TransactionID]],TransactionFact[TransactionID],TransactionFact[SalePrice],"")</f>
        <v>330000</v>
      </c>
    </row>
    <row r="20" spans="1:25" x14ac:dyDescent="0.35">
      <c r="A20" s="56" t="s">
        <v>574</v>
      </c>
      <c r="B20" s="231" t="str">
        <f>_xlfn.XLOOKUP(TransactionCalc[[#This Row],[TransactionID]],TransactionFact[TransactionID],TransactionFact[Address],"")</f>
        <v>96 W Ohio, Rittman 44270</v>
      </c>
      <c r="C20" s="56" t="str">
        <f>_xlfn.XLOOKUP(TransactionCalc[[#This Row],[ListAgentName]],Agent[AgentName],Agent[Office],"")</f>
        <v>HH</v>
      </c>
      <c r="D20" s="78" t="str">
        <f>_xlfn.XLOOKUP(TransactionCalc[[#This Row],[SellAgentName]],Agent[AgentName],Agent[Office],"")</f>
        <v>Milton</v>
      </c>
      <c r="E20" s="231" t="str">
        <f>IF(TransactionCalc[[#This Row],[ListAgentOffice]]="HH","Yes","No")</f>
        <v>Yes</v>
      </c>
      <c r="F20" s="80" t="str">
        <f>IF(TransactionCalc[[#This Row],[SellAgentOffice]]="HH","Yes","No")</f>
        <v>No</v>
      </c>
      <c r="G20" s="239">
        <f>IFERROR(TransactionCalc[[#This Row],[CommPct]]-TransactionCalc[[#This Row],[ListingCommPct]],0)</f>
        <v>0.03</v>
      </c>
      <c r="H20" s="237">
        <f>IFERROR(IF(TransactionCalc[[#This Row],[CommPct]]&gt;0,TransactionCalc[[#This Row],[SalePrice]]*TransactionCalc[[#This Row],[CommPct]],TransactionCalc[[#This Row],[CommFlatAmt]]),0)</f>
        <v>10920</v>
      </c>
      <c r="I20" s="238">
        <f>IF(_xlfn.XLOOKUP(TransactionCalc[[#This Row],[TransactionID]],TransactionFact[TransactionID],TransactionFact[FlatFee],"")="Yes",FlatFee,0)</f>
        <v>399</v>
      </c>
      <c r="J20" s="232">
        <f>IF(TransactionCalc[[#This Row],[HHListing]]="Yes",TransactionCalc[[#This Row],[ListingSideAmt]],0)+IF(TransactionCalc[[#This Row],[HHSale]]="Yes",TransactionCalc[[#This Row],[SaleSideAmt]],0)+TransactionCalc[[#This Row],[FlatFeeAmt]]</f>
        <v>6279.0000000000009</v>
      </c>
      <c r="K20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20" s="72" t="str">
        <f>_xlfn.XLOOKUP(TransactionCalc[[#This Row],[TransactionID]],TransactionFact[TransactionID],TransactionFact[ListAgentName],"")</f>
        <v>Eric Yetzer</v>
      </c>
      <c r="M20" s="72" t="str">
        <f>_xlfn.XLOOKUP(TransactionCalc[[#This Row],[TransactionID]],TransactionFact[TransactionID],TransactionFact[SellAgentName],"")</f>
        <v>Brian Leatherman</v>
      </c>
      <c r="N20" s="82">
        <f>_xlfn.XLOOKUP(TransactionCalc[[#This Row],[TransactionID]],TransactionFact[TransactionID],TransactionFact[CommFlatAmt],"")</f>
        <v>0</v>
      </c>
      <c r="O20" s="236">
        <f>_xlfn.XLOOKUP(TransactionCalc[[#This Row],[TransactionID]],TransactionFact[TransactionID],TransactionFact[CommPct],"")</f>
        <v>6.5000000000000002E-2</v>
      </c>
      <c r="P20" s="236">
        <f>_xlfn.XLOOKUP(TransactionCalc[[#This Row],[TransactionID]],TransactionFact[TransactionID],TransactionFact[ListingCommPct],"")</f>
        <v>3.5000000000000003E-2</v>
      </c>
      <c r="Q20" s="82">
        <f>_xlfn.XLOOKUP(TransactionCalc[[#This Row],[TransactionID]],TransactionFact[TransactionID],TransactionFact[ListingSideAmt],"")</f>
        <v>5880.0000000000009</v>
      </c>
      <c r="R20" s="82">
        <f>_xlfn.XLOOKUP(TransactionCalc[[#This Row],[TransactionID]],TransactionFact[TransactionID],TransactionFact[SaleSideAmt],"")</f>
        <v>5040</v>
      </c>
      <c r="S20" s="72" t="str">
        <f>_xlfn.XLOOKUP(TransactionCalc[[#This Row],[TransactionID]],TransactionFact[TransactionID],TransactionFact[FlatFee],"")</f>
        <v>Yes</v>
      </c>
      <c r="T20" s="82">
        <f>_xlfn.XLOOKUP(TransactionCalc[[#This Row],[TransactionID]],TransactionFact[TransactionID],TransactionFact[EMAmt],"")</f>
        <v>0</v>
      </c>
      <c r="U20" s="72">
        <f>_xlfn.XLOOKUP(TransactionCalc[[#This Row],[TransactionID]],TransactionFact[TransactionID],TransactionFact[EMHold],"")</f>
        <v>0</v>
      </c>
      <c r="V20" s="72">
        <f>_xlfn.XLOOKUP(TransactionCalc[[#This Row],[TransactionID]],TransactionFact[TransactionID],TransactionFact[HomeWarranty],"")</f>
        <v>0</v>
      </c>
      <c r="W20" s="72">
        <f>_xlfn.XLOOKUP(TransactionCalc[[#This Row],[TransactionID]],TransactionFact[TransactionID],TransactionFact[HSA],"")</f>
        <v>0</v>
      </c>
      <c r="X20" s="72">
        <f>_xlfn.XLOOKUP(TransactionCalc[[#This Row],[TransactionID]],TransactionFact[TransactionID],TransactionFact[HWPay],"")</f>
        <v>0</v>
      </c>
      <c r="Y20" s="82">
        <f>_xlfn.XLOOKUP(TransactionCalc[[#This Row],[TransactionID]],TransactionFact[TransactionID],TransactionFact[SalePrice],"")</f>
        <v>168000</v>
      </c>
    </row>
    <row r="21" spans="1:25" x14ac:dyDescent="0.35">
      <c r="A21" s="56" t="s">
        <v>575</v>
      </c>
      <c r="B21" s="231" t="str">
        <f>_xlfn.XLOOKUP(TransactionCalc[[#This Row],[TransactionID]],TransactionFact[TransactionID],TransactionFact[Address],"")</f>
        <v>317 Ihrig, Wooster 44691</v>
      </c>
      <c r="C21" s="56" t="str">
        <f>_xlfn.XLOOKUP(TransactionCalc[[#This Row],[ListAgentName]],Agent[AgentName],Agent[Office],"")</f>
        <v>HH</v>
      </c>
      <c r="D21" s="78" t="str">
        <f>_xlfn.XLOOKUP(TransactionCalc[[#This Row],[SellAgentName]],Agent[AgentName],Agent[Office],"")</f>
        <v>Remax</v>
      </c>
      <c r="E21" s="231" t="str">
        <f>IF(TransactionCalc[[#This Row],[ListAgentOffice]]="HH","Yes","No")</f>
        <v>Yes</v>
      </c>
      <c r="F21" s="80" t="str">
        <f>IF(TransactionCalc[[#This Row],[SellAgentOffice]]="HH","Yes","No")</f>
        <v>No</v>
      </c>
      <c r="G21" s="239">
        <f>IFERROR(TransactionCalc[[#This Row],[CommPct]]-TransactionCalc[[#This Row],[ListingCommPct]],0)</f>
        <v>1.9999999999999997E-2</v>
      </c>
      <c r="H21" s="237">
        <f>IFERROR(IF(TransactionCalc[[#This Row],[CommPct]]&gt;0,TransactionCalc[[#This Row],[SalePrice]]*TransactionCalc[[#This Row],[CommPct]],TransactionCalc[[#This Row],[CommFlatAmt]]),0)</f>
        <v>6900</v>
      </c>
      <c r="I21" s="238">
        <f>IF(_xlfn.XLOOKUP(TransactionCalc[[#This Row],[TransactionID]],TransactionFact[TransactionID],TransactionFact[FlatFee],"")="Yes",FlatFee,0)</f>
        <v>399</v>
      </c>
      <c r="J21" s="232">
        <f>IF(TransactionCalc[[#This Row],[HHListing]]="Yes",TransactionCalc[[#This Row],[ListingSideAmt]],0)+IF(TransactionCalc[[#This Row],[HHSale]]="Yes",TransactionCalc[[#This Row],[SaleSideAmt]],0)+TransactionCalc[[#This Row],[FlatFeeAmt]]</f>
        <v>2699</v>
      </c>
      <c r="K21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21" s="72" t="str">
        <f>_xlfn.XLOOKUP(TransactionCalc[[#This Row],[TransactionID]],TransactionFact[TransactionID],TransactionFact[ListAgentName],"")</f>
        <v>Vicky &amp; Beth (Shelly)</v>
      </c>
      <c r="M21" s="72" t="str">
        <f>_xlfn.XLOOKUP(TransactionCalc[[#This Row],[TransactionID]],TransactionFact[TransactionID],TransactionFact[SellAgentName],"")</f>
        <v>Cindy McCory</v>
      </c>
      <c r="N21" s="82">
        <f>_xlfn.XLOOKUP(TransactionCalc[[#This Row],[TransactionID]],TransactionFact[TransactionID],TransactionFact[CommFlatAmt],"")</f>
        <v>0</v>
      </c>
      <c r="O21" s="236">
        <f>_xlfn.XLOOKUP(TransactionCalc[[#This Row],[TransactionID]],TransactionFact[TransactionID],TransactionFact[CommPct],"")</f>
        <v>0.03</v>
      </c>
      <c r="P21" s="236">
        <f>_xlfn.XLOOKUP(TransactionCalc[[#This Row],[TransactionID]],TransactionFact[TransactionID],TransactionFact[ListingCommPct],"")</f>
        <v>0.01</v>
      </c>
      <c r="Q21" s="82">
        <f>_xlfn.XLOOKUP(TransactionCalc[[#This Row],[TransactionID]],TransactionFact[TransactionID],TransactionFact[ListingSideAmt],"")</f>
        <v>2300</v>
      </c>
      <c r="R21" s="82">
        <f>_xlfn.XLOOKUP(TransactionCalc[[#This Row],[TransactionID]],TransactionFact[TransactionID],TransactionFact[SaleSideAmt],"")</f>
        <v>4600</v>
      </c>
      <c r="S21" s="72" t="str">
        <f>_xlfn.XLOOKUP(TransactionCalc[[#This Row],[TransactionID]],TransactionFact[TransactionID],TransactionFact[FlatFee],"")</f>
        <v>Yes</v>
      </c>
      <c r="T21" s="82">
        <f>_xlfn.XLOOKUP(TransactionCalc[[#This Row],[TransactionID]],TransactionFact[TransactionID],TransactionFact[EMAmt],"")</f>
        <v>0</v>
      </c>
      <c r="U21" s="72">
        <f>_xlfn.XLOOKUP(TransactionCalc[[#This Row],[TransactionID]],TransactionFact[TransactionID],TransactionFact[EMHold],"")</f>
        <v>0</v>
      </c>
      <c r="V21" s="72">
        <f>_xlfn.XLOOKUP(TransactionCalc[[#This Row],[TransactionID]],TransactionFact[TransactionID],TransactionFact[HomeWarranty],"")</f>
        <v>0</v>
      </c>
      <c r="W21" s="72">
        <f>_xlfn.XLOOKUP(TransactionCalc[[#This Row],[TransactionID]],TransactionFact[TransactionID],TransactionFact[HSA],"")</f>
        <v>0</v>
      </c>
      <c r="X21" s="72">
        <f>_xlfn.XLOOKUP(TransactionCalc[[#This Row],[TransactionID]],TransactionFact[TransactionID],TransactionFact[HWPay],"")</f>
        <v>0</v>
      </c>
      <c r="Y21" s="82">
        <f>_xlfn.XLOOKUP(TransactionCalc[[#This Row],[TransactionID]],TransactionFact[TransactionID],TransactionFact[SalePrice],"")</f>
        <v>230000</v>
      </c>
    </row>
    <row r="22" spans="1:25" x14ac:dyDescent="0.35">
      <c r="A22" s="56" t="s">
        <v>576</v>
      </c>
      <c r="B22" s="231" t="str">
        <f>_xlfn.XLOOKUP(TransactionCalc[[#This Row],[TransactionID]],TransactionFact[TransactionID],TransactionFact[Address],"")</f>
        <v>6116 Boneta, Medina 44256</v>
      </c>
      <c r="C22" s="56" t="str">
        <f>_xlfn.XLOOKUP(TransactionCalc[[#This Row],[ListAgentName]],Agent[AgentName],Agent[Office],"")</f>
        <v>Remax</v>
      </c>
      <c r="D22" s="78" t="str">
        <f>_xlfn.XLOOKUP(TransactionCalc[[#This Row],[SellAgentName]],Agent[AgentName],Agent[Office],"")</f>
        <v>HH</v>
      </c>
      <c r="E22" s="231" t="str">
        <f>IF(TransactionCalc[[#This Row],[ListAgentOffice]]="HH","Yes","No")</f>
        <v>No</v>
      </c>
      <c r="F22" s="80" t="str">
        <f>IF(TransactionCalc[[#This Row],[SellAgentOffice]]="HH","Yes","No")</f>
        <v>Yes</v>
      </c>
      <c r="G22" s="239">
        <f>IFERROR(TransactionCalc[[#This Row],[CommPct]]-TransactionCalc[[#This Row],[ListingCommPct]],0)</f>
        <v>0.02</v>
      </c>
      <c r="H22" s="237">
        <f>IFERROR(IF(TransactionCalc[[#This Row],[CommPct]]&gt;0,TransactionCalc[[#This Row],[SalePrice]]*TransactionCalc[[#This Row],[CommPct]],TransactionCalc[[#This Row],[CommFlatAmt]]),0)</f>
        <v>10820</v>
      </c>
      <c r="I22" s="238">
        <f>IF(_xlfn.XLOOKUP(TransactionCalc[[#This Row],[TransactionID]],TransactionFact[TransactionID],TransactionFact[FlatFee],"")="Yes",FlatFee,0)</f>
        <v>399</v>
      </c>
      <c r="J22" s="232">
        <f>IF(TransactionCalc[[#This Row],[HHListing]]="Yes",TransactionCalc[[#This Row],[ListingSideAmt]],0)+IF(TransactionCalc[[#This Row],[HHSale]]="Yes",TransactionCalc[[#This Row],[SaleSideAmt]],0)+TransactionCalc[[#This Row],[FlatFeeAmt]]</f>
        <v>11219</v>
      </c>
      <c r="K22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22" s="72" t="str">
        <f>_xlfn.XLOOKUP(TransactionCalc[[#This Row],[TransactionID]],TransactionFact[TransactionID],TransactionFact[ListAgentName],"")</f>
        <v>Debbie Ferrante</v>
      </c>
      <c r="M22" s="72" t="str">
        <f>_xlfn.XLOOKUP(TransactionCalc[[#This Row],[TransactionID]],TransactionFact[TransactionID],TransactionFact[SellAgentName],"")</f>
        <v>Eric Yetzer</v>
      </c>
      <c r="N22" s="82">
        <f>_xlfn.XLOOKUP(TransactionCalc[[#This Row],[TransactionID]],TransactionFact[TransactionID],TransactionFact[CommFlatAmt],"")</f>
        <v>0</v>
      </c>
      <c r="O22" s="236">
        <f>_xlfn.XLOOKUP(TransactionCalc[[#This Row],[TransactionID]],TransactionFact[TransactionID],TransactionFact[CommPct],"")</f>
        <v>0.02</v>
      </c>
      <c r="P22" s="236">
        <f>_xlfn.XLOOKUP(TransactionCalc[[#This Row],[TransactionID]],TransactionFact[TransactionID],TransactionFact[ListingCommPct],"")</f>
        <v>0</v>
      </c>
      <c r="Q22" s="82">
        <f>_xlfn.XLOOKUP(TransactionCalc[[#This Row],[TransactionID]],TransactionFact[TransactionID],TransactionFact[ListingSideAmt],"")</f>
        <v>0</v>
      </c>
      <c r="R22" s="82">
        <f>_xlfn.XLOOKUP(TransactionCalc[[#This Row],[TransactionID]],TransactionFact[TransactionID],TransactionFact[SaleSideAmt],"")</f>
        <v>10820</v>
      </c>
      <c r="S22" s="72" t="str">
        <f>_xlfn.XLOOKUP(TransactionCalc[[#This Row],[TransactionID]],TransactionFact[TransactionID],TransactionFact[FlatFee],"")</f>
        <v>Yes</v>
      </c>
      <c r="T22" s="82">
        <f>_xlfn.XLOOKUP(TransactionCalc[[#This Row],[TransactionID]],TransactionFact[TransactionID],TransactionFact[EMAmt],"")</f>
        <v>3000</v>
      </c>
      <c r="U22" s="72">
        <f>_xlfn.XLOOKUP(TransactionCalc[[#This Row],[TransactionID]],TransactionFact[TransactionID],TransactionFact[EMHold],"")</f>
        <v>0</v>
      </c>
      <c r="V22" s="72">
        <f>_xlfn.XLOOKUP(TransactionCalc[[#This Row],[TransactionID]],TransactionFact[TransactionID],TransactionFact[HomeWarranty],"")</f>
        <v>0</v>
      </c>
      <c r="W22" s="72">
        <f>_xlfn.XLOOKUP(TransactionCalc[[#This Row],[TransactionID]],TransactionFact[TransactionID],TransactionFact[HSA],"")</f>
        <v>0</v>
      </c>
      <c r="X22" s="72">
        <f>_xlfn.XLOOKUP(TransactionCalc[[#This Row],[TransactionID]],TransactionFact[TransactionID],TransactionFact[HWPay],"")</f>
        <v>0</v>
      </c>
      <c r="Y22" s="82">
        <f>_xlfn.XLOOKUP(TransactionCalc[[#This Row],[TransactionID]],TransactionFact[TransactionID],TransactionFact[SalePrice],"")</f>
        <v>541000</v>
      </c>
    </row>
    <row r="23" spans="1:25" x14ac:dyDescent="0.35">
      <c r="A23" s="56" t="s">
        <v>577</v>
      </c>
      <c r="B23" s="231" t="str">
        <f>_xlfn.XLOOKUP(TransactionCalc[[#This Row],[TransactionID]],TransactionFact[TransactionID],TransactionFact[Address],"")</f>
        <v>2736 Applehill, Robertsville 44670</v>
      </c>
      <c r="C23" s="56" t="str">
        <f>_xlfn.XLOOKUP(TransactionCalc[[#This Row],[ListAgentName]],Agent[AgentName],Agent[Office],"")</f>
        <v>HH</v>
      </c>
      <c r="D23" s="78" t="str">
        <f>_xlfn.XLOOKUP(TransactionCalc[[#This Row],[SellAgentName]],Agent[AgentName],Agent[Office],"")</f>
        <v>Clear Sky</v>
      </c>
      <c r="E23" s="231" t="str">
        <f>IF(TransactionCalc[[#This Row],[ListAgentOffice]]="HH","Yes","No")</f>
        <v>Yes</v>
      </c>
      <c r="F23" s="80" t="str">
        <f>IF(TransactionCalc[[#This Row],[SellAgentOffice]]="HH","Yes","No")</f>
        <v>No</v>
      </c>
      <c r="G23" s="239">
        <f>IFERROR(TransactionCalc[[#This Row],[CommPct]]-TransactionCalc[[#This Row],[ListingCommPct]],0)</f>
        <v>0.04</v>
      </c>
      <c r="H23" s="237">
        <f>IFERROR(IF(TransactionCalc[[#This Row],[CommPct]]&gt;0,TransactionCalc[[#This Row],[SalePrice]]*TransactionCalc[[#This Row],[CommPct]],TransactionCalc[[#This Row],[CommFlatAmt]]),0)</f>
        <v>2680</v>
      </c>
      <c r="I23" s="238">
        <f>IF(_xlfn.XLOOKUP(TransactionCalc[[#This Row],[TransactionID]],TransactionFact[TransactionID],TransactionFact[FlatFee],"")="Yes",FlatFee,0)</f>
        <v>399</v>
      </c>
      <c r="J23" s="232">
        <f>IF(TransactionCalc[[#This Row],[HHListing]]="Yes",TransactionCalc[[#This Row],[ListingSideAmt]],0)+IF(TransactionCalc[[#This Row],[HHSale]]="Yes",TransactionCalc[[#This Row],[SaleSideAmt]],0)+TransactionCalc[[#This Row],[FlatFeeAmt]]</f>
        <v>399</v>
      </c>
      <c r="K23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23" s="72" t="str">
        <f>_xlfn.XLOOKUP(TransactionCalc[[#This Row],[TransactionID]],TransactionFact[TransactionID],TransactionFact[ListAgentName],"")</f>
        <v>Vicky &amp; Beth (Shelly)</v>
      </c>
      <c r="M23" s="72" t="str">
        <f>_xlfn.XLOOKUP(TransactionCalc[[#This Row],[TransactionID]],TransactionFact[TransactionID],TransactionFact[SellAgentName],"")</f>
        <v>Lila Wohlwend</v>
      </c>
      <c r="N23" s="82">
        <f>_xlfn.XLOOKUP(TransactionCalc[[#This Row],[TransactionID]],TransactionFact[TransactionID],TransactionFact[CommFlatAmt],"")</f>
        <v>0</v>
      </c>
      <c r="O23" s="236">
        <f>_xlfn.XLOOKUP(TransactionCalc[[#This Row],[TransactionID]],TransactionFact[TransactionID],TransactionFact[CommPct],"")</f>
        <v>0.04</v>
      </c>
      <c r="P23" s="236">
        <f>_xlfn.XLOOKUP(TransactionCalc[[#This Row],[TransactionID]],TransactionFact[TransactionID],TransactionFact[ListingCommPct],"")</f>
        <v>0</v>
      </c>
      <c r="Q23" s="82">
        <f>_xlfn.XLOOKUP(TransactionCalc[[#This Row],[TransactionID]],TransactionFact[TransactionID],TransactionFact[ListingSideAmt],"")</f>
        <v>0</v>
      </c>
      <c r="R23" s="82">
        <f>_xlfn.XLOOKUP(TransactionCalc[[#This Row],[TransactionID]],TransactionFact[TransactionID],TransactionFact[SaleSideAmt],"")</f>
        <v>2680</v>
      </c>
      <c r="S23" s="72" t="str">
        <f>_xlfn.XLOOKUP(TransactionCalc[[#This Row],[TransactionID]],TransactionFact[TransactionID],TransactionFact[FlatFee],"")</f>
        <v>Yes</v>
      </c>
      <c r="T23" s="82">
        <f>_xlfn.XLOOKUP(TransactionCalc[[#This Row],[TransactionID]],TransactionFact[TransactionID],TransactionFact[EMAmt],"")</f>
        <v>0</v>
      </c>
      <c r="U23" s="72">
        <f>_xlfn.XLOOKUP(TransactionCalc[[#This Row],[TransactionID]],TransactionFact[TransactionID],TransactionFact[EMHold],"")</f>
        <v>0</v>
      </c>
      <c r="V23" s="72">
        <f>_xlfn.XLOOKUP(TransactionCalc[[#This Row],[TransactionID]],TransactionFact[TransactionID],TransactionFact[HomeWarranty],"")</f>
        <v>0</v>
      </c>
      <c r="W23" s="72">
        <f>_xlfn.XLOOKUP(TransactionCalc[[#This Row],[TransactionID]],TransactionFact[TransactionID],TransactionFact[HSA],"")</f>
        <v>0</v>
      </c>
      <c r="X23" s="72">
        <f>_xlfn.XLOOKUP(TransactionCalc[[#This Row],[TransactionID]],TransactionFact[TransactionID],TransactionFact[HWPay],"")</f>
        <v>0</v>
      </c>
      <c r="Y23" s="82">
        <f>_xlfn.XLOOKUP(TransactionCalc[[#This Row],[TransactionID]],TransactionFact[TransactionID],TransactionFact[SalePrice],"")</f>
        <v>67000</v>
      </c>
    </row>
    <row r="24" spans="1:25" x14ac:dyDescent="0.35">
      <c r="A24" s="56" t="s">
        <v>578</v>
      </c>
      <c r="B24" s="231" t="str">
        <f>_xlfn.XLOOKUP(TransactionCalc[[#This Row],[TransactionID]],TransactionFact[TransactionID],TransactionFact[Address],"")</f>
        <v>552 Main #H, Wadsworth 44281</v>
      </c>
      <c r="C24" s="56" t="str">
        <f>_xlfn.XLOOKUP(TransactionCalc[[#This Row],[ListAgentName]],Agent[AgentName],Agent[Office],"")</f>
        <v>BHHS Stouffer</v>
      </c>
      <c r="D24" s="78" t="str">
        <f>_xlfn.XLOOKUP(TransactionCalc[[#This Row],[SellAgentName]],Agent[AgentName],Agent[Office],"")</f>
        <v>HH</v>
      </c>
      <c r="E24" s="231" t="str">
        <f>IF(TransactionCalc[[#This Row],[ListAgentOffice]]="HH","Yes","No")</f>
        <v>No</v>
      </c>
      <c r="F24" s="80" t="str">
        <f>IF(TransactionCalc[[#This Row],[SellAgentOffice]]="HH","Yes","No")</f>
        <v>Yes</v>
      </c>
      <c r="G24" s="239">
        <f>IFERROR(TransactionCalc[[#This Row],[CommPct]]-TransactionCalc[[#This Row],[ListingCommPct]],0)</f>
        <v>2.5000000000000001E-2</v>
      </c>
      <c r="H24" s="237">
        <f>IFERROR(IF(TransactionCalc[[#This Row],[CommPct]]&gt;0,TransactionCalc[[#This Row],[SalePrice]]*TransactionCalc[[#This Row],[CommPct]],TransactionCalc[[#This Row],[CommFlatAmt]]),0)</f>
        <v>5000</v>
      </c>
      <c r="I24" s="238">
        <f>IF(_xlfn.XLOOKUP(TransactionCalc[[#This Row],[TransactionID]],TransactionFact[TransactionID],TransactionFact[FlatFee],"")="Yes",FlatFee,0)</f>
        <v>399</v>
      </c>
      <c r="J24" s="232">
        <f>IF(TransactionCalc[[#This Row],[HHListing]]="Yes",TransactionCalc[[#This Row],[ListingSideAmt]],0)+IF(TransactionCalc[[#This Row],[HHSale]]="Yes",TransactionCalc[[#This Row],[SaleSideAmt]],0)+TransactionCalc[[#This Row],[FlatFeeAmt]]</f>
        <v>5399</v>
      </c>
      <c r="K24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24" s="72" t="str">
        <f>_xlfn.XLOOKUP(TransactionCalc[[#This Row],[TransactionID]],TransactionFact[TransactionID],TransactionFact[ListAgentName],"")</f>
        <v>Jennifer Ham</v>
      </c>
      <c r="M24" s="72" t="str">
        <f>_xlfn.XLOOKUP(TransactionCalc[[#This Row],[TransactionID]],TransactionFact[TransactionID],TransactionFact[SellAgentName],"")</f>
        <v>Barb Lesure</v>
      </c>
      <c r="N24" s="82">
        <f>_xlfn.XLOOKUP(TransactionCalc[[#This Row],[TransactionID]],TransactionFact[TransactionID],TransactionFact[CommFlatAmt],"")</f>
        <v>0</v>
      </c>
      <c r="O24" s="236">
        <f>_xlfn.XLOOKUP(TransactionCalc[[#This Row],[TransactionID]],TransactionFact[TransactionID],TransactionFact[CommPct],"")</f>
        <v>2.5000000000000001E-2</v>
      </c>
      <c r="P24" s="236">
        <f>_xlfn.XLOOKUP(TransactionCalc[[#This Row],[TransactionID]],TransactionFact[TransactionID],TransactionFact[ListingCommPct],"")</f>
        <v>0</v>
      </c>
      <c r="Q24" s="82">
        <f>_xlfn.XLOOKUP(TransactionCalc[[#This Row],[TransactionID]],TransactionFact[TransactionID],TransactionFact[ListingSideAmt],"")</f>
        <v>0</v>
      </c>
      <c r="R24" s="82">
        <f>_xlfn.XLOOKUP(TransactionCalc[[#This Row],[TransactionID]],TransactionFact[TransactionID],TransactionFact[SaleSideAmt],"")</f>
        <v>5000</v>
      </c>
      <c r="S24" s="72" t="str">
        <f>_xlfn.XLOOKUP(TransactionCalc[[#This Row],[TransactionID]],TransactionFact[TransactionID],TransactionFact[FlatFee],"")</f>
        <v>Yes</v>
      </c>
      <c r="T24" s="82">
        <f>_xlfn.XLOOKUP(TransactionCalc[[#This Row],[TransactionID]],TransactionFact[TransactionID],TransactionFact[EMAmt],"")</f>
        <v>1000</v>
      </c>
      <c r="U24" s="72">
        <f>_xlfn.XLOOKUP(TransactionCalc[[#This Row],[TransactionID]],TransactionFact[TransactionID],TransactionFact[EMHold],"")</f>
        <v>0</v>
      </c>
      <c r="V24" s="72">
        <f>_xlfn.XLOOKUP(TransactionCalc[[#This Row],[TransactionID]],TransactionFact[TransactionID],TransactionFact[HomeWarranty],"")</f>
        <v>0</v>
      </c>
      <c r="W24" s="72">
        <f>_xlfn.XLOOKUP(TransactionCalc[[#This Row],[TransactionID]],TransactionFact[TransactionID],TransactionFact[HSA],"")</f>
        <v>0</v>
      </c>
      <c r="X24" s="72">
        <f>_xlfn.XLOOKUP(TransactionCalc[[#This Row],[TransactionID]],TransactionFact[TransactionID],TransactionFact[HWPay],"")</f>
        <v>0</v>
      </c>
      <c r="Y24" s="82">
        <f>_xlfn.XLOOKUP(TransactionCalc[[#This Row],[TransactionID]],TransactionFact[TransactionID],TransactionFact[SalePrice],"")</f>
        <v>200000</v>
      </c>
    </row>
    <row r="25" spans="1:25" x14ac:dyDescent="0.35">
      <c r="A25" s="56" t="s">
        <v>579</v>
      </c>
      <c r="B25" s="231" t="str">
        <f>_xlfn.XLOOKUP(TransactionCalc[[#This Row],[TransactionID]],TransactionFact[TransactionID],TransactionFact[Address],"")</f>
        <v>1047 Ashwood, Wooster 44691</v>
      </c>
      <c r="C25" s="56" t="str">
        <f>_xlfn.XLOOKUP(TransactionCalc[[#This Row],[ListAgentName]],Agent[AgentName],Agent[Office],"")</f>
        <v>BHHS</v>
      </c>
      <c r="D25" s="78" t="str">
        <f>_xlfn.XLOOKUP(TransactionCalc[[#This Row],[SellAgentName]],Agent[AgentName],Agent[Office],"")</f>
        <v>HH</v>
      </c>
      <c r="E25" s="231" t="str">
        <f>IF(TransactionCalc[[#This Row],[ListAgentOffice]]="HH","Yes","No")</f>
        <v>No</v>
      </c>
      <c r="F25" s="80" t="str">
        <f>IF(TransactionCalc[[#This Row],[SellAgentOffice]]="HH","Yes","No")</f>
        <v>Yes</v>
      </c>
      <c r="G25" s="239">
        <f>IFERROR(TransactionCalc[[#This Row],[CommPct]]-TransactionCalc[[#This Row],[ListingCommPct]],0)</f>
        <v>0.02</v>
      </c>
      <c r="H25" s="237">
        <f>IFERROR(IF(TransactionCalc[[#This Row],[CommPct]]&gt;0,TransactionCalc[[#This Row],[SalePrice]]*TransactionCalc[[#This Row],[CommPct]],TransactionCalc[[#This Row],[CommFlatAmt]]),0)</f>
        <v>6500</v>
      </c>
      <c r="I25" s="238">
        <f>IF(_xlfn.XLOOKUP(TransactionCalc[[#This Row],[TransactionID]],TransactionFact[TransactionID],TransactionFact[FlatFee],"")="Yes",FlatFee,0)</f>
        <v>399</v>
      </c>
      <c r="J25" s="232">
        <f>IF(TransactionCalc[[#This Row],[HHListing]]="Yes",TransactionCalc[[#This Row],[ListingSideAmt]],0)+IF(TransactionCalc[[#This Row],[HHSale]]="Yes",TransactionCalc[[#This Row],[SaleSideAmt]],0)+TransactionCalc[[#This Row],[FlatFeeAmt]]</f>
        <v>6899</v>
      </c>
      <c r="K25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25" s="72" t="str">
        <f>_xlfn.XLOOKUP(TransactionCalc[[#This Row],[TransactionID]],TransactionFact[TransactionID],TransactionFact[ListAgentName],"")</f>
        <v>Amy Marinello</v>
      </c>
      <c r="M25" s="72" t="str">
        <f>_xlfn.XLOOKUP(TransactionCalc[[#This Row],[TransactionID]],TransactionFact[TransactionID],TransactionFact[SellAgentName],"")</f>
        <v>Kelly/Heidi</v>
      </c>
      <c r="N25" s="82">
        <f>_xlfn.XLOOKUP(TransactionCalc[[#This Row],[TransactionID]],TransactionFact[TransactionID],TransactionFact[CommFlatAmt],"")</f>
        <v>0</v>
      </c>
      <c r="O25" s="236">
        <f>_xlfn.XLOOKUP(TransactionCalc[[#This Row],[TransactionID]],TransactionFact[TransactionID],TransactionFact[CommPct],"")</f>
        <v>0.02</v>
      </c>
      <c r="P25" s="236">
        <f>_xlfn.XLOOKUP(TransactionCalc[[#This Row],[TransactionID]],TransactionFact[TransactionID],TransactionFact[ListingCommPct],"")</f>
        <v>0</v>
      </c>
      <c r="Q25" s="82">
        <f>_xlfn.XLOOKUP(TransactionCalc[[#This Row],[TransactionID]],TransactionFact[TransactionID],TransactionFact[ListingSideAmt],"")</f>
        <v>0</v>
      </c>
      <c r="R25" s="82">
        <f>_xlfn.XLOOKUP(TransactionCalc[[#This Row],[TransactionID]],TransactionFact[TransactionID],TransactionFact[SaleSideAmt],"")</f>
        <v>6500</v>
      </c>
      <c r="S25" s="72" t="str">
        <f>_xlfn.XLOOKUP(TransactionCalc[[#This Row],[TransactionID]],TransactionFact[TransactionID],TransactionFact[FlatFee],"")</f>
        <v>Yes</v>
      </c>
      <c r="T25" s="82">
        <f>_xlfn.XLOOKUP(TransactionCalc[[#This Row],[TransactionID]],TransactionFact[TransactionID],TransactionFact[EMAmt],"")</f>
        <v>0</v>
      </c>
      <c r="U25" s="72" t="str">
        <f>_xlfn.XLOOKUP(TransactionCalc[[#This Row],[TransactionID]],TransactionFact[TransactionID],TransactionFact[EMHold],"")</f>
        <v>Title</v>
      </c>
      <c r="V25" s="72" t="str">
        <f>_xlfn.XLOOKUP(TransactionCalc[[#This Row],[TransactionID]],TransactionFact[TransactionID],TransactionFact[HomeWarranty],"")</f>
        <v>No</v>
      </c>
      <c r="W25" s="72" t="str">
        <f>_xlfn.XLOOKUP(TransactionCalc[[#This Row],[TransactionID]],TransactionFact[TransactionID],TransactionFact[HSA],"")</f>
        <v>No</v>
      </c>
      <c r="X25" s="72" t="str">
        <f>_xlfn.XLOOKUP(TransactionCalc[[#This Row],[TransactionID]],TransactionFact[TransactionID],TransactionFact[HWPay],"")</f>
        <v>N/A</v>
      </c>
      <c r="Y25" s="82">
        <f>_xlfn.XLOOKUP(TransactionCalc[[#This Row],[TransactionID]],TransactionFact[TransactionID],TransactionFact[SalePrice],"")</f>
        <v>325000</v>
      </c>
    </row>
    <row r="26" spans="1:25" x14ac:dyDescent="0.35">
      <c r="A26" s="56" t="s">
        <v>580</v>
      </c>
      <c r="B26" s="231" t="str">
        <f>_xlfn.XLOOKUP(TransactionCalc[[#This Row],[TransactionID]],TransactionFact[TransactionID],TransactionFact[Address],"")</f>
        <v>18592 Edwards #169, Doylestown 44230</v>
      </c>
      <c r="C26" s="56" t="str">
        <f>_xlfn.XLOOKUP(TransactionCalc[[#This Row],[ListAgentName]],Agent[AgentName],Agent[Office],"")</f>
        <v>HH</v>
      </c>
      <c r="D26" s="78" t="str">
        <f>_xlfn.XLOOKUP(TransactionCalc[[#This Row],[SellAgentName]],Agent[AgentName],Agent[Office],"")</f>
        <v>Keller</v>
      </c>
      <c r="E26" s="231" t="str">
        <f>IF(TransactionCalc[[#This Row],[ListAgentOffice]]="HH","Yes","No")</f>
        <v>Yes</v>
      </c>
      <c r="F26" s="80" t="str">
        <f>IF(TransactionCalc[[#This Row],[SellAgentOffice]]="HH","Yes","No")</f>
        <v>No</v>
      </c>
      <c r="G26" s="239">
        <f>IFERROR(TransactionCalc[[#This Row],[CommPct]]-TransactionCalc[[#This Row],[ListingCommPct]],0)</f>
        <v>0</v>
      </c>
      <c r="H26" s="237">
        <f>IFERROR(IF(TransactionCalc[[#This Row],[CommPct]]&gt;0,TransactionCalc[[#This Row],[SalePrice]]*TransactionCalc[[#This Row],[CommPct]],TransactionCalc[[#This Row],[CommFlatAmt]]),0)</f>
        <v>4000</v>
      </c>
      <c r="I26" s="238">
        <f>IF(_xlfn.XLOOKUP(TransactionCalc[[#This Row],[TransactionID]],TransactionFact[TransactionID],TransactionFact[FlatFee],"")="Yes",FlatFee,0)</f>
        <v>0</v>
      </c>
      <c r="J26" s="232">
        <f>IF(TransactionCalc[[#This Row],[HHListing]]="Yes",TransactionCalc[[#This Row],[ListingSideAmt]],0)+IF(TransactionCalc[[#This Row],[HHSale]]="Yes",TransactionCalc[[#This Row],[SaleSideAmt]],0)+TransactionCalc[[#This Row],[FlatFeeAmt]]</f>
        <v>2500</v>
      </c>
      <c r="K26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26" s="72" t="str">
        <f>_xlfn.XLOOKUP(TransactionCalc[[#This Row],[TransactionID]],TransactionFact[TransactionID],TransactionFact[ListAgentName],"")</f>
        <v>Vicky &amp; Beth</v>
      </c>
      <c r="M26" s="72" t="str">
        <f>_xlfn.XLOOKUP(TransactionCalc[[#This Row],[TransactionID]],TransactionFact[TransactionID],TransactionFact[SellAgentName],"")</f>
        <v>Melissa Steiner</v>
      </c>
      <c r="N26" s="82">
        <f>_xlfn.XLOOKUP(TransactionCalc[[#This Row],[TransactionID]],TransactionFact[TransactionID],TransactionFact[CommFlatAmt],"")</f>
        <v>4000</v>
      </c>
      <c r="O26" s="236">
        <f>_xlfn.XLOOKUP(TransactionCalc[[#This Row],[TransactionID]],TransactionFact[TransactionID],TransactionFact[CommPct],"")</f>
        <v>0</v>
      </c>
      <c r="P26" s="236">
        <f>_xlfn.XLOOKUP(TransactionCalc[[#This Row],[TransactionID]],TransactionFact[TransactionID],TransactionFact[ListingCommPct],"")</f>
        <v>0</v>
      </c>
      <c r="Q26" s="82">
        <f>_xlfn.XLOOKUP(TransactionCalc[[#This Row],[TransactionID]],TransactionFact[TransactionID],TransactionFact[ListingSideAmt],"")</f>
        <v>2500</v>
      </c>
      <c r="R26" s="82">
        <f>_xlfn.XLOOKUP(TransactionCalc[[#This Row],[TransactionID]],TransactionFact[TransactionID],TransactionFact[SaleSideAmt],"")</f>
        <v>1500</v>
      </c>
      <c r="S26" s="72" t="str">
        <f>_xlfn.XLOOKUP(TransactionCalc[[#This Row],[TransactionID]],TransactionFact[TransactionID],TransactionFact[FlatFee],"")</f>
        <v>No</v>
      </c>
      <c r="T26" s="82">
        <f>_xlfn.XLOOKUP(TransactionCalc[[#This Row],[TransactionID]],TransactionFact[TransactionID],TransactionFact[EMAmt],"")</f>
        <v>0</v>
      </c>
      <c r="U26" s="72">
        <f>_xlfn.XLOOKUP(TransactionCalc[[#This Row],[TransactionID]],TransactionFact[TransactionID],TransactionFact[EMHold],"")</f>
        <v>0</v>
      </c>
      <c r="V26" s="72" t="str">
        <f>_xlfn.XLOOKUP(TransactionCalc[[#This Row],[TransactionID]],TransactionFact[TransactionID],TransactionFact[HomeWarranty],"")</f>
        <v>No</v>
      </c>
      <c r="W26" s="72" t="str">
        <f>_xlfn.XLOOKUP(TransactionCalc[[#This Row],[TransactionID]],TransactionFact[TransactionID],TransactionFact[HSA],"")</f>
        <v>No</v>
      </c>
      <c r="X26" s="72" t="str">
        <f>_xlfn.XLOOKUP(TransactionCalc[[#This Row],[TransactionID]],TransactionFact[TransactionID],TransactionFact[HWPay],"")</f>
        <v>N/A</v>
      </c>
      <c r="Y26" s="82">
        <f>_xlfn.XLOOKUP(TransactionCalc[[#This Row],[TransactionID]],TransactionFact[TransactionID],TransactionFact[SalePrice],"")</f>
        <v>30000</v>
      </c>
    </row>
    <row r="27" spans="1:25" x14ac:dyDescent="0.35">
      <c r="A27" s="56" t="s">
        <v>581</v>
      </c>
      <c r="B27" s="231" t="str">
        <f>_xlfn.XLOOKUP(TransactionCalc[[#This Row],[TransactionID]],TransactionFact[TransactionID],TransactionFact[Address],"")</f>
        <v>536 Austin, Akron 44320</v>
      </c>
      <c r="C27" s="56" t="str">
        <f>_xlfn.XLOOKUP(TransactionCalc[[#This Row],[ListAgentName]],Agent[AgentName],Agent[Office],"")</f>
        <v>HH</v>
      </c>
      <c r="D27" s="78" t="str">
        <f>_xlfn.XLOOKUP(TransactionCalc[[#This Row],[SellAgentName]],Agent[AgentName],Agent[Office],"")</f>
        <v>Helen Scott</v>
      </c>
      <c r="E27" s="231" t="str">
        <f>IF(TransactionCalc[[#This Row],[ListAgentOffice]]="HH","Yes","No")</f>
        <v>Yes</v>
      </c>
      <c r="F27" s="80" t="str">
        <f>IF(TransactionCalc[[#This Row],[SellAgentOffice]]="HH","Yes","No")</f>
        <v>No</v>
      </c>
      <c r="G27" s="239">
        <f>IFERROR(TransactionCalc[[#This Row],[CommPct]]-TransactionCalc[[#This Row],[ListingCommPct]],0)</f>
        <v>0</v>
      </c>
      <c r="H27" s="237">
        <f>IFERROR(IF(TransactionCalc[[#This Row],[CommPct]]&gt;0,TransactionCalc[[#This Row],[SalePrice]]*TransactionCalc[[#This Row],[CommPct]],TransactionCalc[[#This Row],[CommFlatAmt]]),0)</f>
        <v>7070.5</v>
      </c>
      <c r="I27" s="238">
        <f>IF(_xlfn.XLOOKUP(TransactionCalc[[#This Row],[TransactionID]],TransactionFact[TransactionID],TransactionFact[FlatFee],"")="Yes",FlatFee,0)</f>
        <v>399</v>
      </c>
      <c r="J27" s="232">
        <f>IF(TransactionCalc[[#This Row],[HHListing]]="Yes",TransactionCalc[[#This Row],[ListingSideAmt]],0)+IF(TransactionCalc[[#This Row],[HHSale]]="Yes",TransactionCalc[[#This Row],[SaleSideAmt]],0)+TransactionCalc[[#This Row],[FlatFeeAmt]]</f>
        <v>3771.5</v>
      </c>
      <c r="K27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27" s="72" t="str">
        <f>_xlfn.XLOOKUP(TransactionCalc[[#This Row],[TransactionID]],TransactionFact[TransactionID],TransactionFact[ListAgentName],"")</f>
        <v>Kelly Watts</v>
      </c>
      <c r="M27" s="72" t="str">
        <f>_xlfn.XLOOKUP(TransactionCalc[[#This Row],[TransactionID]],TransactionFact[TransactionID],TransactionFact[SellAgentName],"")</f>
        <v>Deb Shreiner</v>
      </c>
      <c r="N27" s="82">
        <f>_xlfn.XLOOKUP(TransactionCalc[[#This Row],[TransactionID]],TransactionFact[TransactionID],TransactionFact[CommFlatAmt],"")</f>
        <v>7070.5</v>
      </c>
      <c r="O27" s="236">
        <f>_xlfn.XLOOKUP(TransactionCalc[[#This Row],[TransactionID]],TransactionFact[TransactionID],TransactionFact[CommPct],"")</f>
        <v>0</v>
      </c>
      <c r="P27" s="236">
        <f>_xlfn.XLOOKUP(TransactionCalc[[#This Row],[TransactionID]],TransactionFact[TransactionID],TransactionFact[ListingCommPct],"")</f>
        <v>0</v>
      </c>
      <c r="Q27" s="82">
        <f>_xlfn.XLOOKUP(TransactionCalc[[#This Row],[TransactionID]],TransactionFact[TransactionID],TransactionFact[ListingSideAmt],"")</f>
        <v>3372.5</v>
      </c>
      <c r="R27" s="82">
        <f>_xlfn.XLOOKUP(TransactionCalc[[#This Row],[TransactionID]],TransactionFact[TransactionID],TransactionFact[SaleSideAmt],"")</f>
        <v>3698</v>
      </c>
      <c r="S27" s="72" t="str">
        <f>_xlfn.XLOOKUP(TransactionCalc[[#This Row],[TransactionID]],TransactionFact[TransactionID],TransactionFact[FlatFee],"")</f>
        <v>Yes</v>
      </c>
      <c r="T27" s="82">
        <f>_xlfn.XLOOKUP(TransactionCalc[[#This Row],[TransactionID]],TransactionFact[TransactionID],TransactionFact[EMAmt],"")</f>
        <v>0</v>
      </c>
      <c r="U27" s="72" t="str">
        <f>_xlfn.XLOOKUP(TransactionCalc[[#This Row],[TransactionID]],TransactionFact[TransactionID],TransactionFact[EMHold],"")</f>
        <v>Title</v>
      </c>
      <c r="V27" s="72" t="str">
        <f>_xlfn.XLOOKUP(TransactionCalc[[#This Row],[TransactionID]],TransactionFact[TransactionID],TransactionFact[HomeWarranty],"")</f>
        <v>No</v>
      </c>
      <c r="W27" s="72" t="str">
        <f>_xlfn.XLOOKUP(TransactionCalc[[#This Row],[TransactionID]],TransactionFact[TransactionID],TransactionFact[HSA],"")</f>
        <v>No</v>
      </c>
      <c r="X27" s="72" t="str">
        <f>_xlfn.XLOOKUP(TransactionCalc[[#This Row],[TransactionID]],TransactionFact[TransactionID],TransactionFact[HWPay],"")</f>
        <v>N/A</v>
      </c>
      <c r="Y27" s="82">
        <f>_xlfn.XLOOKUP(TransactionCalc[[#This Row],[TransactionID]],TransactionFact[TransactionID],TransactionFact[SalePrice],"")</f>
        <v>134900</v>
      </c>
    </row>
    <row r="28" spans="1:25" x14ac:dyDescent="0.35">
      <c r="A28" s="56" t="s">
        <v>582</v>
      </c>
      <c r="B28" s="231" t="str">
        <f>_xlfn.XLOOKUP(TransactionCalc[[#This Row],[TransactionID]],TransactionFact[TransactionID],TransactionFact[Address],"")</f>
        <v>349 E Hopocan, Barberton 44203</v>
      </c>
      <c r="C28" s="56" t="str">
        <f>_xlfn.XLOOKUP(TransactionCalc[[#This Row],[ListAgentName]],Agent[AgentName],Agent[Office],"")</f>
        <v>HH</v>
      </c>
      <c r="D28" s="78" t="str">
        <f>_xlfn.XLOOKUP(TransactionCalc[[#This Row],[SellAgentName]],Agent[AgentName],Agent[Office],"")</f>
        <v>HH Medina</v>
      </c>
      <c r="E28" s="231" t="str">
        <f>IF(TransactionCalc[[#This Row],[ListAgentOffice]]="HH","Yes","No")</f>
        <v>Yes</v>
      </c>
      <c r="F28" s="80" t="str">
        <f>IF(TransactionCalc[[#This Row],[SellAgentOffice]]="HH","Yes","No")</f>
        <v>No</v>
      </c>
      <c r="G28" s="239">
        <f>IFERROR(TransactionCalc[[#This Row],[CommPct]]-TransactionCalc[[#This Row],[ListingCommPct]],0)</f>
        <v>2.5000000000000008E-2</v>
      </c>
      <c r="H28" s="237">
        <f>IFERROR(IF(TransactionCalc[[#This Row],[CommPct]]&gt;0,TransactionCalc[[#This Row],[SalePrice]]*TransactionCalc[[#This Row],[CommPct]],TransactionCalc[[#This Row],[CommFlatAmt]]),0)</f>
        <v>7560.0000000000009</v>
      </c>
      <c r="I28" s="238">
        <f>IF(_xlfn.XLOOKUP(TransactionCalc[[#This Row],[TransactionID]],TransactionFact[TransactionID],TransactionFact[FlatFee],"")="Yes",FlatFee,0)</f>
        <v>399</v>
      </c>
      <c r="J28" s="232">
        <f>IF(TransactionCalc[[#This Row],[HHListing]]="Yes",TransactionCalc[[#This Row],[ListingSideAmt]],0)+IF(TransactionCalc[[#This Row],[HHSale]]="Yes",TransactionCalc[[#This Row],[SaleSideAmt]],0)+TransactionCalc[[#This Row],[FlatFeeAmt]]</f>
        <v>5259</v>
      </c>
      <c r="K28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28" s="72" t="str">
        <f>_xlfn.XLOOKUP(TransactionCalc[[#This Row],[TransactionID]],TransactionFact[TransactionID],TransactionFact[ListAgentName],"")</f>
        <v>Barb Lesure</v>
      </c>
      <c r="M28" s="72" t="str">
        <f>_xlfn.XLOOKUP(TransactionCalc[[#This Row],[TransactionID]],TransactionFact[TransactionID],TransactionFact[SellAgentName],"")</f>
        <v>Brenda Verbeka</v>
      </c>
      <c r="N28" s="82">
        <f>_xlfn.XLOOKUP(TransactionCalc[[#This Row],[TransactionID]],TransactionFact[TransactionID],TransactionFact[CommFlatAmt],"")</f>
        <v>0</v>
      </c>
      <c r="O28" s="236">
        <f>_xlfn.XLOOKUP(TransactionCalc[[#This Row],[TransactionID]],TransactionFact[TransactionID],TransactionFact[CommPct],"")</f>
        <v>7.0000000000000007E-2</v>
      </c>
      <c r="P28" s="236">
        <f>_xlfn.XLOOKUP(TransactionCalc[[#This Row],[TransactionID]],TransactionFact[TransactionID],TransactionFact[ListingCommPct],"")</f>
        <v>4.4999999999999998E-2</v>
      </c>
      <c r="Q28" s="82">
        <f>_xlfn.XLOOKUP(TransactionCalc[[#This Row],[TransactionID]],TransactionFact[TransactionID],TransactionFact[ListingSideAmt],"")</f>
        <v>4860</v>
      </c>
      <c r="R28" s="82">
        <f>_xlfn.XLOOKUP(TransactionCalc[[#This Row],[TransactionID]],TransactionFact[TransactionID],TransactionFact[SaleSideAmt],"")</f>
        <v>2700</v>
      </c>
      <c r="S28" s="72" t="str">
        <f>_xlfn.XLOOKUP(TransactionCalc[[#This Row],[TransactionID]],TransactionFact[TransactionID],TransactionFact[FlatFee],"")</f>
        <v>Yes</v>
      </c>
      <c r="T28" s="82">
        <f>_xlfn.XLOOKUP(TransactionCalc[[#This Row],[TransactionID]],TransactionFact[TransactionID],TransactionFact[EMAmt],"")</f>
        <v>500</v>
      </c>
      <c r="U28" s="72" t="str">
        <f>_xlfn.XLOOKUP(TransactionCalc[[#This Row],[TransactionID]],TransactionFact[TransactionID],TransactionFact[EMHold],"")</f>
        <v>HH</v>
      </c>
      <c r="V28" s="72" t="str">
        <f>_xlfn.XLOOKUP(TransactionCalc[[#This Row],[TransactionID]],TransactionFact[TransactionID],TransactionFact[HomeWarranty],"")</f>
        <v>Yes</v>
      </c>
      <c r="W28" s="72" t="str">
        <f>_xlfn.XLOOKUP(TransactionCalc[[#This Row],[TransactionID]],TransactionFact[TransactionID],TransactionFact[HSA],"")</f>
        <v>Yes</v>
      </c>
      <c r="X28" s="72" t="str">
        <f>_xlfn.XLOOKUP(TransactionCalc[[#This Row],[TransactionID]],TransactionFact[TransactionID],TransactionFact[HWPay],"")</f>
        <v>Buyer</v>
      </c>
      <c r="Y28" s="82">
        <f>_xlfn.XLOOKUP(TransactionCalc[[#This Row],[TransactionID]],TransactionFact[TransactionID],TransactionFact[SalePrice],"")</f>
        <v>108000</v>
      </c>
    </row>
    <row r="29" spans="1:25" x14ac:dyDescent="0.35">
      <c r="A29" s="56" t="s">
        <v>583</v>
      </c>
      <c r="B29" s="231" t="str">
        <f>_xlfn.XLOOKUP(TransactionCalc[[#This Row],[TransactionID]],TransactionFact[TransactionID],TransactionFact[Address],"")</f>
        <v>12249 Whitman, Doylestown 44230</v>
      </c>
      <c r="C29" s="56" t="str">
        <f>_xlfn.XLOOKUP(TransactionCalc[[#This Row],[ListAgentName]],Agent[AgentName],Agent[Office],"")</f>
        <v>HH</v>
      </c>
      <c r="D29" s="78" t="str">
        <f>_xlfn.XLOOKUP(TransactionCalc[[#This Row],[SellAgentName]],Agent[AgentName],Agent[Office],"")</f>
        <v>ReMax Edge</v>
      </c>
      <c r="E29" s="231" t="str">
        <f>IF(TransactionCalc[[#This Row],[ListAgentOffice]]="HH","Yes","No")</f>
        <v>Yes</v>
      </c>
      <c r="F29" s="80" t="str">
        <f>IF(TransactionCalc[[#This Row],[SellAgentOffice]]="HH","Yes","No")</f>
        <v>No</v>
      </c>
      <c r="G29" s="239">
        <f>IFERROR(TransactionCalc[[#This Row],[CommPct]]-TransactionCalc[[#This Row],[ListingCommPct]],0)</f>
        <v>2.0000000000000004E-2</v>
      </c>
      <c r="H29" s="237">
        <f>IFERROR(IF(TransactionCalc[[#This Row],[CommPct]]&gt;0,TransactionCalc[[#This Row],[SalePrice]]*TransactionCalc[[#This Row],[CommPct]],TransactionCalc[[#This Row],[CommFlatAmt]]),0)</f>
        <v>9275</v>
      </c>
      <c r="I29" s="238">
        <f>IF(_xlfn.XLOOKUP(TransactionCalc[[#This Row],[TransactionID]],TransactionFact[TransactionID],TransactionFact[FlatFee],"")="Yes",FlatFee,0)</f>
        <v>399</v>
      </c>
      <c r="J29" s="232">
        <f>IF(TransactionCalc[[#This Row],[HHListing]]="Yes",TransactionCalc[[#This Row],[ListingSideAmt]],0)+IF(TransactionCalc[[#This Row],[HHSale]]="Yes",TransactionCalc[[#This Row],[SaleSideAmt]],0)+TransactionCalc[[#This Row],[FlatFeeAmt]]</f>
        <v>5964</v>
      </c>
      <c r="K29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OK</v>
      </c>
      <c r="L29" s="72" t="str">
        <f>_xlfn.XLOOKUP(TransactionCalc[[#This Row],[TransactionID]],TransactionFact[TransactionID],TransactionFact[ListAgentName],"")</f>
        <v>Vicky &amp; Beth</v>
      </c>
      <c r="M29" s="72" t="str">
        <f>_xlfn.XLOOKUP(TransactionCalc[[#This Row],[TransactionID]],TransactionFact[TransactionID],TransactionFact[SellAgentName],"")</f>
        <v>Christine Conkle</v>
      </c>
      <c r="N29" s="82">
        <f>_xlfn.XLOOKUP(TransactionCalc[[#This Row],[TransactionID]],TransactionFact[TransactionID],TransactionFact[CommFlatAmt],"")</f>
        <v>0</v>
      </c>
      <c r="O29" s="236">
        <f>_xlfn.XLOOKUP(TransactionCalc[[#This Row],[TransactionID]],TransactionFact[TransactionID],TransactionFact[CommPct],"")</f>
        <v>0.05</v>
      </c>
      <c r="P29" s="236">
        <f>_xlfn.XLOOKUP(TransactionCalc[[#This Row],[TransactionID]],TransactionFact[TransactionID],TransactionFact[ListingCommPct],"")</f>
        <v>0.03</v>
      </c>
      <c r="Q29" s="82">
        <f>_xlfn.XLOOKUP(TransactionCalc[[#This Row],[TransactionID]],TransactionFact[TransactionID],TransactionFact[ListingSideAmt],"")</f>
        <v>5565</v>
      </c>
      <c r="R29" s="82">
        <f>_xlfn.XLOOKUP(TransactionCalc[[#This Row],[TransactionID]],TransactionFact[TransactionID],TransactionFact[SaleSideAmt],"")</f>
        <v>3710</v>
      </c>
      <c r="S29" s="72" t="str">
        <f>_xlfn.XLOOKUP(TransactionCalc[[#This Row],[TransactionID]],TransactionFact[TransactionID],TransactionFact[FlatFee],"")</f>
        <v>Yes</v>
      </c>
      <c r="T29" s="82">
        <f>_xlfn.XLOOKUP(TransactionCalc[[#This Row],[TransactionID]],TransactionFact[TransactionID],TransactionFact[EMAmt],"")</f>
        <v>1000</v>
      </c>
      <c r="U29" s="72" t="str">
        <f>_xlfn.XLOOKUP(TransactionCalc[[#This Row],[TransactionID]],TransactionFact[TransactionID],TransactionFact[EMHold],"")</f>
        <v>Other</v>
      </c>
      <c r="V29" s="72" t="str">
        <f>_xlfn.XLOOKUP(TransactionCalc[[#This Row],[TransactionID]],TransactionFact[TransactionID],TransactionFact[HomeWarranty],"")</f>
        <v>Yes</v>
      </c>
      <c r="W29" s="72" t="str">
        <f>_xlfn.XLOOKUP(TransactionCalc[[#This Row],[TransactionID]],TransactionFact[TransactionID],TransactionFact[HSA],"")</f>
        <v>Yes</v>
      </c>
      <c r="X29" s="72" t="str">
        <f>_xlfn.XLOOKUP(TransactionCalc[[#This Row],[TransactionID]],TransactionFact[TransactionID],TransactionFact[HWPay],"")</f>
        <v>Seller</v>
      </c>
      <c r="Y29" s="82">
        <f>_xlfn.XLOOKUP(TransactionCalc[[#This Row],[TransactionID]],TransactionFact[TransactionID],TransactionFact[SalePrice],"")</f>
        <v>185500</v>
      </c>
    </row>
    <row r="30" spans="1:25" x14ac:dyDescent="0.35">
      <c r="A30" s="56" t="s">
        <v>584</v>
      </c>
      <c r="B30" s="231" t="str">
        <f>_xlfn.XLOOKUP(TransactionCalc[[#This Row],[TransactionID]],TransactionFact[TransactionID],TransactionFact[Address],"")</f>
        <v>3179 Vanderhoof, Clinton 44216</v>
      </c>
      <c r="C30" s="56" t="str">
        <f>_xlfn.XLOOKUP(TransactionCalc[[#This Row],[ListAgentName]],Agent[AgentName],Agent[Office],"")</f>
        <v>Keller Williams</v>
      </c>
      <c r="D30" s="78" t="str">
        <f>_xlfn.XLOOKUP(TransactionCalc[[#This Row],[SellAgentName]],Agent[AgentName],Agent[Office],"")</f>
        <v>HH</v>
      </c>
      <c r="E30" s="231" t="str">
        <f>IF(TransactionCalc[[#This Row],[ListAgentOffice]]="HH","Yes","No")</f>
        <v>No</v>
      </c>
      <c r="F30" s="80" t="str">
        <f>IF(TransactionCalc[[#This Row],[SellAgentOffice]]="HH","Yes","No")</f>
        <v>Yes</v>
      </c>
      <c r="G30" s="239">
        <f>IFERROR(TransactionCalc[[#This Row],[CommPct]]-TransactionCalc[[#This Row],[ListingCommPct]],0)</f>
        <v>0</v>
      </c>
      <c r="H30" s="237">
        <f>IFERROR(IF(TransactionCalc[[#This Row],[CommPct]]&gt;0,TransactionCalc[[#This Row],[SalePrice]]*TransactionCalc[[#This Row],[CommPct]],TransactionCalc[[#This Row],[CommFlatAmt]]),0)</f>
        <v>0</v>
      </c>
      <c r="I30" s="238">
        <f>IF(_xlfn.XLOOKUP(TransactionCalc[[#This Row],[TransactionID]],TransactionFact[TransactionID],TransactionFact[FlatFee],"")="Yes",FlatFee,0)</f>
        <v>399</v>
      </c>
      <c r="J30" s="232">
        <f>IF(TransactionCalc[[#This Row],[HHListing]]="Yes",TransactionCalc[[#This Row],[ListingSideAmt]],0)+IF(TransactionCalc[[#This Row],[HHSale]]="Yes",TransactionCalc[[#This Row],[SaleSideAmt]],0)+TransactionCalc[[#This Row],[FlatFeeAmt]]</f>
        <v>5399</v>
      </c>
      <c r="K30" s="231" t="str">
        <f>IFERROR(IF(TransactionCalc[[#This Row],[ListingSideAmt]]+TransactionCalc[[#This Row],[SaleSideAmt]]=0,"",IF(ABS(TransactionCalc[[#This Row],[TotalComm]]- TransactionCalc[[#This Row],[ListingSideAmt]]-TransactionCalc[[#This Row],[SaleSideAmt]])&gt;1,"MISMATCH: $" &amp;TransactionCalc[[#This Row],[TotalComm]]&amp;" vs $" &amp; (TransactionCalc[[#This Row],[ListingSideAmt]]+TransactionCalc[[#This Row],[SaleSideAmt]]),"OK")),"")</f>
        <v>MISMATCH: $0 vs $5000</v>
      </c>
      <c r="L30" s="72" t="str">
        <f>_xlfn.XLOOKUP(TransactionCalc[[#This Row],[TransactionID]],TransactionFact[TransactionID],TransactionFact[ListAgentName],"")</f>
        <v>Sonja Halstead</v>
      </c>
      <c r="M30" s="72" t="str">
        <f>_xlfn.XLOOKUP(TransactionCalc[[#This Row],[TransactionID]],TransactionFact[TransactionID],TransactionFact[SellAgentName],"")</f>
        <v>Rebbecca Tessanne</v>
      </c>
      <c r="N30" s="82">
        <f>_xlfn.XLOOKUP(TransactionCalc[[#This Row],[TransactionID]],TransactionFact[TransactionID],TransactionFact[CommFlatAmt],"")</f>
        <v>0</v>
      </c>
      <c r="O30" s="236">
        <f>_xlfn.XLOOKUP(TransactionCalc[[#This Row],[TransactionID]],TransactionFact[TransactionID],TransactionFact[CommPct],"")</f>
        <v>0</v>
      </c>
      <c r="P30" s="236">
        <f>_xlfn.XLOOKUP(TransactionCalc[[#This Row],[TransactionID]],TransactionFact[TransactionID],TransactionFact[ListingCommPct],"")</f>
        <v>0</v>
      </c>
      <c r="Q30" s="82">
        <f>_xlfn.XLOOKUP(TransactionCalc[[#This Row],[TransactionID]],TransactionFact[TransactionID],TransactionFact[ListingSideAmt],"")</f>
        <v>0</v>
      </c>
      <c r="R30" s="82">
        <f>_xlfn.XLOOKUP(TransactionCalc[[#This Row],[TransactionID]],TransactionFact[TransactionID],TransactionFact[SaleSideAmt],"")</f>
        <v>5000</v>
      </c>
      <c r="S30" s="72" t="str">
        <f>_xlfn.XLOOKUP(TransactionCalc[[#This Row],[TransactionID]],TransactionFact[TransactionID],TransactionFact[FlatFee],"")</f>
        <v>Yes</v>
      </c>
      <c r="T30" s="82">
        <f>_xlfn.XLOOKUP(TransactionCalc[[#This Row],[TransactionID]],TransactionFact[TransactionID],TransactionFact[EMAmt],"")</f>
        <v>1000</v>
      </c>
      <c r="U30" s="72" t="str">
        <f>_xlfn.XLOOKUP(TransactionCalc[[#This Row],[TransactionID]],TransactionFact[TransactionID],TransactionFact[EMHold],"")</f>
        <v>HH</v>
      </c>
      <c r="V30" s="72" t="str">
        <f>_xlfn.XLOOKUP(TransactionCalc[[#This Row],[TransactionID]],TransactionFact[TransactionID],TransactionFact[HomeWarranty],"")</f>
        <v>No</v>
      </c>
      <c r="W30" s="72" t="str">
        <f>_xlfn.XLOOKUP(TransactionCalc[[#This Row],[TransactionID]],TransactionFact[TransactionID],TransactionFact[HSA],"")</f>
        <v>No</v>
      </c>
      <c r="X30" s="72" t="str">
        <f>_xlfn.XLOOKUP(TransactionCalc[[#This Row],[TransactionID]],TransactionFact[TransactionID],TransactionFact[HWPay],"")</f>
        <v>N/A</v>
      </c>
      <c r="Y30" s="82">
        <f>_xlfn.XLOOKUP(TransactionCalc[[#This Row],[TransactionID]],TransactionFact[TransactionID],TransactionFact[SalePrice],"")</f>
        <v>200000</v>
      </c>
    </row>
  </sheetData>
  <mergeCells count="4">
    <mergeCell ref="A1:X1"/>
    <mergeCell ref="T2:X2"/>
    <mergeCell ref="B2:F2"/>
    <mergeCell ref="G2:J2"/>
  </mergeCell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7113-0CF6-4DF9-BA55-B1E5DBB824B6}">
  <sheetPr codeName="Sheet8">
    <tabColor theme="6" tint="0.39997558519241921"/>
  </sheetPr>
  <dimension ref="A1:AW30"/>
  <sheetViews>
    <sheetView topLeftCell="AC1" workbookViewId="0">
      <pane ySplit="5" topLeftCell="A6" activePane="bottomLeft" state="frozen"/>
      <selection pane="bottomLeft" activeCell="AV7" sqref="AV7"/>
    </sheetView>
    <sheetView workbookViewId="1">
      <selection activeCell="C34" sqref="C34"/>
    </sheetView>
  </sheetViews>
  <sheetFormatPr defaultRowHeight="14.5" x14ac:dyDescent="0.35"/>
  <cols>
    <col min="1" max="2" width="16" customWidth="1"/>
    <col min="3" max="3" width="32" customWidth="1"/>
    <col min="4" max="5" width="14" customWidth="1"/>
    <col min="6" max="6" width="18" customWidth="1"/>
    <col min="7" max="10" width="14" customWidth="1"/>
    <col min="11" max="11" width="28" customWidth="1"/>
    <col min="12" max="15" width="22" customWidth="1"/>
    <col min="16" max="16" width="18" customWidth="1"/>
    <col min="17" max="17" width="14" customWidth="1"/>
    <col min="18" max="18" width="18" customWidth="1"/>
    <col min="19" max="19" width="14.453125" customWidth="1"/>
    <col min="20" max="20" width="14" customWidth="1"/>
    <col min="21" max="21" width="10" customWidth="1"/>
    <col min="22" max="22" width="16" customWidth="1"/>
    <col min="23" max="23" width="20" customWidth="1"/>
    <col min="24" max="25" width="14" customWidth="1"/>
    <col min="26" max="26" width="18" customWidth="1"/>
    <col min="29" max="29" width="11.08984375" customWidth="1"/>
    <col min="33" max="33" width="13.453125" customWidth="1"/>
  </cols>
  <sheetData>
    <row r="1" spans="1:49" ht="30" customHeight="1" x14ac:dyDescent="0.35">
      <c r="A1" s="27" t="s">
        <v>405</v>
      </c>
      <c r="B1" s="27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</row>
    <row r="2" spans="1:49" ht="14.5" customHeight="1" x14ac:dyDescent="0.35">
      <c r="A2" s="90" t="s">
        <v>404</v>
      </c>
      <c r="B2" s="20"/>
      <c r="C2" s="38" t="s">
        <v>97</v>
      </c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89"/>
      <c r="P2" s="86"/>
      <c r="Q2" s="87"/>
      <c r="R2" s="88" t="s">
        <v>130</v>
      </c>
      <c r="S2" s="88"/>
      <c r="T2" s="88"/>
      <c r="U2" s="88"/>
      <c r="V2" s="88"/>
      <c r="W2" s="88"/>
      <c r="X2" s="88"/>
      <c r="Y2" s="88"/>
      <c r="Z2" s="88"/>
      <c r="AA2" s="88"/>
      <c r="AB2" s="88"/>
      <c r="AC2" s="85" t="s">
        <v>263</v>
      </c>
      <c r="AD2" s="85"/>
      <c r="AE2" s="85"/>
      <c r="AF2" s="85"/>
      <c r="AG2" s="85"/>
      <c r="AH2" s="85"/>
      <c r="AI2" s="85"/>
      <c r="AJ2" s="83" t="s">
        <v>471</v>
      </c>
      <c r="AK2" s="83"/>
      <c r="AL2" s="83"/>
      <c r="AM2" s="83"/>
      <c r="AN2" s="83"/>
      <c r="AO2" s="84" t="s">
        <v>176</v>
      </c>
      <c r="AP2" s="84"/>
      <c r="AQ2" s="84"/>
      <c r="AR2" s="84"/>
      <c r="AS2" s="84"/>
      <c r="AT2" s="84"/>
      <c r="AU2" s="84"/>
    </row>
    <row r="4" spans="1:49" ht="42" customHeight="1" x14ac:dyDescent="0.35">
      <c r="A4" s="18" t="s">
        <v>403</v>
      </c>
      <c r="B4" s="18" t="s">
        <v>96</v>
      </c>
      <c r="C4" s="18" t="s">
        <v>99</v>
      </c>
      <c r="D4" s="18" t="s">
        <v>102</v>
      </c>
      <c r="E4" s="18" t="s">
        <v>104</v>
      </c>
      <c r="F4" s="18" t="s">
        <v>106</v>
      </c>
      <c r="G4" s="18" t="s">
        <v>108</v>
      </c>
      <c r="H4" s="18" t="s">
        <v>109</v>
      </c>
      <c r="I4" s="18" t="s">
        <v>111</v>
      </c>
      <c r="J4" s="18" t="s">
        <v>113</v>
      </c>
      <c r="K4" s="18" t="s">
        <v>115</v>
      </c>
      <c r="L4" s="18" t="s">
        <v>117</v>
      </c>
      <c r="M4" s="18" t="s">
        <v>119</v>
      </c>
      <c r="N4" s="18" t="s">
        <v>121</v>
      </c>
      <c r="O4" s="18" t="s">
        <v>123</v>
      </c>
      <c r="P4" s="18" t="s">
        <v>125</v>
      </c>
      <c r="Q4" s="18" t="s">
        <v>127</v>
      </c>
      <c r="R4" s="18" t="s">
        <v>129</v>
      </c>
      <c r="S4" s="18" t="s">
        <v>133</v>
      </c>
      <c r="T4" s="18" t="s">
        <v>265</v>
      </c>
      <c r="U4" s="18" t="s">
        <v>136</v>
      </c>
      <c r="V4" s="18" t="s">
        <v>138</v>
      </c>
      <c r="W4" s="18" t="s">
        <v>266</v>
      </c>
      <c r="X4" s="18" t="s">
        <v>142</v>
      </c>
      <c r="Y4" s="18" t="s">
        <v>267</v>
      </c>
      <c r="Z4" s="18" t="s">
        <v>145</v>
      </c>
      <c r="AA4" s="18" t="s">
        <v>147</v>
      </c>
      <c r="AB4" s="18" t="s">
        <v>149</v>
      </c>
      <c r="AC4" s="18" t="s">
        <v>262</v>
      </c>
      <c r="AD4" s="18" t="s">
        <v>154</v>
      </c>
      <c r="AE4" s="18" t="s">
        <v>156</v>
      </c>
      <c r="AF4" s="18" t="s">
        <v>158</v>
      </c>
      <c r="AG4" s="18" t="s">
        <v>264</v>
      </c>
      <c r="AH4" s="18" t="s">
        <v>268</v>
      </c>
      <c r="AI4" s="18" t="s">
        <v>162</v>
      </c>
      <c r="AJ4" s="18" t="s">
        <v>164</v>
      </c>
      <c r="AK4" s="18" t="s">
        <v>167</v>
      </c>
      <c r="AL4" s="18" t="s">
        <v>169</v>
      </c>
      <c r="AM4" s="18" t="s">
        <v>171</v>
      </c>
      <c r="AN4" s="18" t="s">
        <v>173</v>
      </c>
      <c r="AO4" s="18" t="s">
        <v>175</v>
      </c>
      <c r="AP4" s="18" t="s">
        <v>178</v>
      </c>
      <c r="AQ4" s="18" t="s">
        <v>180</v>
      </c>
      <c r="AR4" s="18" t="s">
        <v>182</v>
      </c>
      <c r="AS4" s="18" t="s">
        <v>184</v>
      </c>
      <c r="AT4" s="18" t="s">
        <v>186</v>
      </c>
      <c r="AU4" s="18" t="s">
        <v>188</v>
      </c>
    </row>
    <row r="5" spans="1:49" ht="16" customHeight="1" x14ac:dyDescent="0.35">
      <c r="A5" s="17" t="s">
        <v>399</v>
      </c>
      <c r="B5" s="17" t="s">
        <v>275</v>
      </c>
      <c r="C5" s="17" t="s">
        <v>275</v>
      </c>
      <c r="D5" s="17" t="s">
        <v>275</v>
      </c>
      <c r="E5" s="17" t="s">
        <v>275</v>
      </c>
      <c r="F5" s="17" t="s">
        <v>275</v>
      </c>
      <c r="G5" s="17" t="s">
        <v>275</v>
      </c>
      <c r="H5" s="17" t="s">
        <v>275</v>
      </c>
      <c r="I5" s="17" t="s">
        <v>275</v>
      </c>
      <c r="J5" s="17" t="s">
        <v>275</v>
      </c>
      <c r="K5" s="17" t="s">
        <v>275</v>
      </c>
      <c r="L5" s="17" t="s">
        <v>275</v>
      </c>
      <c r="M5" s="17" t="s">
        <v>275</v>
      </c>
      <c r="N5" s="17" t="s">
        <v>277</v>
      </c>
      <c r="O5" s="17" t="s">
        <v>275</v>
      </c>
      <c r="P5" s="17" t="s">
        <v>275</v>
      </c>
      <c r="Q5" s="17" t="s">
        <v>275</v>
      </c>
      <c r="R5" s="17" t="s">
        <v>275</v>
      </c>
      <c r="S5" s="17" t="s">
        <v>275</v>
      </c>
      <c r="T5" s="17" t="s">
        <v>275</v>
      </c>
      <c r="U5" s="17" t="s">
        <v>275</v>
      </c>
      <c r="V5" s="17" t="s">
        <v>275</v>
      </c>
      <c r="W5" s="17" t="s">
        <v>275</v>
      </c>
      <c r="X5" s="17" t="s">
        <v>275</v>
      </c>
      <c r="Y5" s="17" t="s">
        <v>275</v>
      </c>
      <c r="Z5" s="17" t="s">
        <v>275</v>
      </c>
      <c r="AA5" s="17" t="s">
        <v>275</v>
      </c>
      <c r="AB5" s="17" t="s">
        <v>275</v>
      </c>
      <c r="AC5" s="17" t="s">
        <v>278</v>
      </c>
      <c r="AD5" s="17" t="s">
        <v>275</v>
      </c>
      <c r="AE5" s="17" t="s">
        <v>278</v>
      </c>
      <c r="AF5" s="17" t="s">
        <v>275</v>
      </c>
      <c r="AG5" s="17" t="s">
        <v>278</v>
      </c>
      <c r="AH5" s="17" t="s">
        <v>275</v>
      </c>
      <c r="AI5" s="17" t="s">
        <v>275</v>
      </c>
      <c r="AJ5" s="17" t="s">
        <v>275</v>
      </c>
      <c r="AK5" s="17" t="s">
        <v>275</v>
      </c>
      <c r="AL5" s="17" t="s">
        <v>275</v>
      </c>
      <c r="AM5" s="17" t="s">
        <v>275</v>
      </c>
      <c r="AN5" s="17" t="s">
        <v>275</v>
      </c>
      <c r="AO5" s="17" t="s">
        <v>275</v>
      </c>
      <c r="AP5" s="17" t="s">
        <v>275</v>
      </c>
      <c r="AQ5" s="17" t="s">
        <v>275</v>
      </c>
      <c r="AR5" s="17" t="s">
        <v>275</v>
      </c>
      <c r="AS5" s="17" t="s">
        <v>275</v>
      </c>
      <c r="AT5" s="17" t="s">
        <v>275</v>
      </c>
      <c r="AU5" s="17" t="s">
        <v>275</v>
      </c>
    </row>
    <row r="6" spans="1:49" ht="28" customHeight="1" x14ac:dyDescent="0.35">
      <c r="A6" s="16" t="s">
        <v>0</v>
      </c>
      <c r="B6" s="14" t="s">
        <v>95</v>
      </c>
      <c r="C6" s="14" t="s">
        <v>98</v>
      </c>
      <c r="D6" s="14" t="s">
        <v>101</v>
      </c>
      <c r="E6" s="14" t="s">
        <v>103</v>
      </c>
      <c r="F6" s="14" t="s">
        <v>105</v>
      </c>
      <c r="G6" s="14" t="s">
        <v>107</v>
      </c>
      <c r="H6" s="14" t="s">
        <v>109</v>
      </c>
      <c r="I6" s="14" t="s">
        <v>110</v>
      </c>
      <c r="J6" s="14" t="s">
        <v>112</v>
      </c>
      <c r="K6" s="14" t="s">
        <v>114</v>
      </c>
      <c r="L6" s="14" t="s">
        <v>117</v>
      </c>
      <c r="M6" s="14" t="s">
        <v>118</v>
      </c>
      <c r="N6" s="14" t="s">
        <v>120</v>
      </c>
      <c r="O6" s="14" t="s">
        <v>122</v>
      </c>
      <c r="P6" s="14" t="s">
        <v>124</v>
      </c>
      <c r="Q6" s="14" t="s">
        <v>126</v>
      </c>
      <c r="R6" s="14" t="s">
        <v>128</v>
      </c>
      <c r="S6" s="14" t="s">
        <v>132</v>
      </c>
      <c r="T6" s="14" t="s">
        <v>134</v>
      </c>
      <c r="U6" s="14" t="s">
        <v>135</v>
      </c>
      <c r="V6" s="14" t="s">
        <v>137</v>
      </c>
      <c r="W6" s="14" t="s">
        <v>139</v>
      </c>
      <c r="X6" s="14" t="s">
        <v>141</v>
      </c>
      <c r="Y6" s="14" t="s">
        <v>143</v>
      </c>
      <c r="Z6" s="14" t="s">
        <v>144</v>
      </c>
      <c r="AA6" s="25" t="s">
        <v>146</v>
      </c>
      <c r="AB6" s="25" t="s">
        <v>148</v>
      </c>
      <c r="AC6" s="25" t="s">
        <v>150</v>
      </c>
      <c r="AD6" s="25" t="s">
        <v>153</v>
      </c>
      <c r="AE6" s="25" t="s">
        <v>155</v>
      </c>
      <c r="AF6" s="25" t="s">
        <v>157</v>
      </c>
      <c r="AG6" s="25" t="s">
        <v>159</v>
      </c>
      <c r="AH6" s="25" t="s">
        <v>160</v>
      </c>
      <c r="AI6" s="25" t="s">
        <v>161</v>
      </c>
      <c r="AJ6" s="25" t="s">
        <v>163</v>
      </c>
      <c r="AK6" s="25" t="s">
        <v>166</v>
      </c>
      <c r="AL6" s="25" t="s">
        <v>168</v>
      </c>
      <c r="AM6" s="25" t="s">
        <v>170</v>
      </c>
      <c r="AN6" s="25" t="s">
        <v>172</v>
      </c>
      <c r="AO6" s="25" t="s">
        <v>174</v>
      </c>
      <c r="AP6" s="25" t="s">
        <v>177</v>
      </c>
      <c r="AQ6" s="25" t="s">
        <v>179</v>
      </c>
      <c r="AR6" s="25" t="s">
        <v>181</v>
      </c>
      <c r="AS6" s="25" t="s">
        <v>183</v>
      </c>
      <c r="AT6" s="25" t="s">
        <v>185</v>
      </c>
      <c r="AU6" s="25" t="s">
        <v>187</v>
      </c>
      <c r="AV6" s="25" t="s">
        <v>589</v>
      </c>
      <c r="AW6" s="25" t="s">
        <v>5</v>
      </c>
    </row>
    <row r="7" spans="1:49" ht="18" customHeight="1" x14ac:dyDescent="0.35">
      <c r="A7" s="65" t="s">
        <v>412</v>
      </c>
      <c r="B7" s="69" t="s">
        <v>84</v>
      </c>
      <c r="C7" s="69" t="s">
        <v>84</v>
      </c>
      <c r="D7" s="69" t="s">
        <v>84</v>
      </c>
      <c r="E7" s="69" t="s">
        <v>88</v>
      </c>
      <c r="F7" s="69" t="s">
        <v>84</v>
      </c>
      <c r="G7" s="69" t="s">
        <v>84</v>
      </c>
      <c r="H7" s="69" t="s">
        <v>84</v>
      </c>
      <c r="I7" s="69" t="s">
        <v>84</v>
      </c>
      <c r="J7" s="69" t="s">
        <v>84</v>
      </c>
      <c r="K7" s="69" t="s">
        <v>84</v>
      </c>
      <c r="L7" s="69" t="s">
        <v>84</v>
      </c>
      <c r="M7" s="69" t="s">
        <v>66</v>
      </c>
      <c r="N7" s="65"/>
      <c r="O7" s="69" t="s">
        <v>66</v>
      </c>
      <c r="P7" s="69" t="s">
        <v>66</v>
      </c>
      <c r="Q7" s="69" t="s">
        <v>66</v>
      </c>
      <c r="R7" s="69" t="s">
        <v>66</v>
      </c>
      <c r="S7" s="69" t="s">
        <v>66</v>
      </c>
      <c r="T7" s="69"/>
      <c r="U7" s="69" t="s">
        <v>66</v>
      </c>
      <c r="V7" s="69" t="s">
        <v>66</v>
      </c>
      <c r="W7" s="69" t="s">
        <v>66</v>
      </c>
      <c r="X7" s="69" t="s">
        <v>66</v>
      </c>
      <c r="Y7" s="69" t="s">
        <v>66</v>
      </c>
      <c r="Z7" s="69" t="s">
        <v>66</v>
      </c>
      <c r="AA7" s="69"/>
      <c r="AB7" s="69" t="s">
        <v>66</v>
      </c>
      <c r="AC7" s="58"/>
      <c r="AD7" s="69" t="s">
        <v>88</v>
      </c>
      <c r="AE7" s="58"/>
      <c r="AF7" s="69"/>
      <c r="AG7" s="58"/>
      <c r="AH7" s="69" t="s">
        <v>66</v>
      </c>
      <c r="AI7" s="69" t="s">
        <v>66</v>
      </c>
      <c r="AJ7" s="69" t="s">
        <v>66</v>
      </c>
      <c r="AK7" s="69" t="s">
        <v>66</v>
      </c>
      <c r="AL7" s="69" t="s">
        <v>66</v>
      </c>
      <c r="AM7" s="69" t="s">
        <v>66</v>
      </c>
      <c r="AN7" s="69" t="s">
        <v>66</v>
      </c>
      <c r="AO7" s="69" t="s">
        <v>88</v>
      </c>
      <c r="AP7" s="69" t="s">
        <v>88</v>
      </c>
      <c r="AQ7" s="69" t="s">
        <v>88</v>
      </c>
      <c r="AR7" s="69" t="s">
        <v>88</v>
      </c>
      <c r="AS7" s="69" t="s">
        <v>88</v>
      </c>
      <c r="AT7" s="69" t="s">
        <v>88</v>
      </c>
      <c r="AU7" s="69" t="s">
        <v>88</v>
      </c>
      <c r="AV7" s="242">
        <f t="shared" ref="AV7:AV30" si="0">IFERROR(COUNTIF(B7:AU7,"Complete")/(COUNTA(B7:AU7)-COUNTIF(B7:AU7,"N/A")),0)</f>
        <v>0.33333333333333331</v>
      </c>
      <c r="AW7" s="240" t="str">
        <f t="shared" ref="AW7:AW30" si="1">IF(AV7=0,"Not Started",IF(AV7=1,"Complete","In Progress"))</f>
        <v>In Progress</v>
      </c>
    </row>
    <row r="8" spans="1:49" ht="18" customHeight="1" x14ac:dyDescent="0.35">
      <c r="A8" s="65" t="s">
        <v>474</v>
      </c>
      <c r="B8" s="69" t="s">
        <v>84</v>
      </c>
      <c r="C8" s="69" t="s">
        <v>88</v>
      </c>
      <c r="D8" s="69" t="s">
        <v>84</v>
      </c>
      <c r="E8" s="91" t="s">
        <v>88</v>
      </c>
      <c r="F8" s="69" t="s">
        <v>84</v>
      </c>
      <c r="G8" s="69" t="s">
        <v>84</v>
      </c>
      <c r="H8" s="91" t="s">
        <v>84</v>
      </c>
      <c r="I8" s="69" t="s">
        <v>88</v>
      </c>
      <c r="J8" s="69" t="s">
        <v>84</v>
      </c>
      <c r="K8" s="69" t="s">
        <v>88</v>
      </c>
      <c r="L8" s="69" t="s">
        <v>84</v>
      </c>
      <c r="M8" s="69" t="s">
        <v>84</v>
      </c>
      <c r="N8" s="65"/>
      <c r="O8" s="69" t="s">
        <v>88</v>
      </c>
      <c r="P8" s="69" t="s">
        <v>84</v>
      </c>
      <c r="Q8" s="92" t="s">
        <v>84</v>
      </c>
      <c r="R8" s="92" t="s">
        <v>84</v>
      </c>
      <c r="S8" s="69" t="s">
        <v>84</v>
      </c>
      <c r="T8" s="69"/>
      <c r="U8" s="69" t="s">
        <v>585</v>
      </c>
      <c r="V8" s="69" t="s">
        <v>585</v>
      </c>
      <c r="W8" s="69" t="s">
        <v>88</v>
      </c>
      <c r="X8" s="69" t="s">
        <v>84</v>
      </c>
      <c r="Y8" s="69" t="s">
        <v>84</v>
      </c>
      <c r="Z8" s="69" t="s">
        <v>84</v>
      </c>
      <c r="AA8" s="69"/>
      <c r="AB8" s="93" t="s">
        <v>88</v>
      </c>
      <c r="AC8" s="58"/>
      <c r="AD8" s="93" t="s">
        <v>88</v>
      </c>
      <c r="AE8" s="58"/>
      <c r="AF8" s="93" t="s">
        <v>66</v>
      </c>
      <c r="AG8" s="58">
        <v>46049</v>
      </c>
      <c r="AH8" s="69" t="s">
        <v>84</v>
      </c>
      <c r="AI8" s="69" t="s">
        <v>84</v>
      </c>
      <c r="AJ8" s="69" t="s">
        <v>66</v>
      </c>
      <c r="AK8" s="69" t="s">
        <v>66</v>
      </c>
      <c r="AL8" s="69" t="s">
        <v>66</v>
      </c>
      <c r="AM8" s="69" t="s">
        <v>66</v>
      </c>
      <c r="AN8" s="69" t="s">
        <v>66</v>
      </c>
      <c r="AO8" s="69"/>
      <c r="AP8" s="69"/>
      <c r="AQ8" s="69"/>
      <c r="AR8" s="69"/>
      <c r="AS8" s="69"/>
      <c r="AT8" s="69"/>
      <c r="AU8" s="69"/>
      <c r="AV8" s="243">
        <f t="shared" si="0"/>
        <v>0.73076923076923073</v>
      </c>
      <c r="AW8" s="69" t="str">
        <f t="shared" si="1"/>
        <v>In Progress</v>
      </c>
    </row>
    <row r="9" spans="1:49" x14ac:dyDescent="0.35">
      <c r="A9" s="65" t="s">
        <v>473</v>
      </c>
      <c r="B9" s="69" t="s">
        <v>84</v>
      </c>
      <c r="C9" s="69" t="s">
        <v>88</v>
      </c>
      <c r="D9" s="69" t="s">
        <v>84</v>
      </c>
      <c r="E9" s="91" t="s">
        <v>84</v>
      </c>
      <c r="F9" s="69" t="s">
        <v>84</v>
      </c>
      <c r="G9" s="69" t="s">
        <v>84</v>
      </c>
      <c r="H9" s="91" t="s">
        <v>84</v>
      </c>
      <c r="I9" s="69" t="s">
        <v>88</v>
      </c>
      <c r="J9" s="69" t="s">
        <v>84</v>
      </c>
      <c r="K9" s="69" t="s">
        <v>84</v>
      </c>
      <c r="L9" s="69" t="s">
        <v>84</v>
      </c>
      <c r="M9" s="69" t="s">
        <v>88</v>
      </c>
      <c r="N9" s="65"/>
      <c r="O9" s="69" t="s">
        <v>88</v>
      </c>
      <c r="P9" s="69" t="s">
        <v>84</v>
      </c>
      <c r="Q9" s="92" t="s">
        <v>84</v>
      </c>
      <c r="R9" s="92" t="s">
        <v>88</v>
      </c>
      <c r="S9" s="69" t="s">
        <v>84</v>
      </c>
      <c r="T9" s="69"/>
      <c r="U9" s="69" t="s">
        <v>585</v>
      </c>
      <c r="V9" s="69" t="s">
        <v>585</v>
      </c>
      <c r="W9" s="69" t="s">
        <v>88</v>
      </c>
      <c r="X9" s="69" t="s">
        <v>84</v>
      </c>
      <c r="Y9" s="69" t="s">
        <v>88</v>
      </c>
      <c r="Z9" s="69" t="s">
        <v>84</v>
      </c>
      <c r="AA9" s="69"/>
      <c r="AB9" s="93" t="s">
        <v>88</v>
      </c>
      <c r="AC9" s="58"/>
      <c r="AD9" s="93" t="s">
        <v>88</v>
      </c>
      <c r="AE9" s="58"/>
      <c r="AF9" s="93" t="s">
        <v>66</v>
      </c>
      <c r="AG9" s="58">
        <v>46063</v>
      </c>
      <c r="AH9" s="69" t="s">
        <v>84</v>
      </c>
      <c r="AI9" s="69" t="s">
        <v>84</v>
      </c>
      <c r="AJ9" s="69" t="s">
        <v>66</v>
      </c>
      <c r="AK9" s="69" t="s">
        <v>66</v>
      </c>
      <c r="AL9" s="69" t="s">
        <v>66</v>
      </c>
      <c r="AM9" s="69" t="s">
        <v>66</v>
      </c>
      <c r="AN9" s="69" t="s">
        <v>66</v>
      </c>
      <c r="AO9" s="69"/>
      <c r="AP9" s="69"/>
      <c r="AQ9" s="69"/>
      <c r="AR9" s="69"/>
      <c r="AS9" s="69"/>
      <c r="AT9" s="69"/>
      <c r="AU9" s="69"/>
      <c r="AV9" s="243">
        <f t="shared" si="0"/>
        <v>0.72</v>
      </c>
      <c r="AW9" s="69" t="str">
        <f t="shared" si="1"/>
        <v>In Progress</v>
      </c>
    </row>
    <row r="10" spans="1:49" x14ac:dyDescent="0.35">
      <c r="A10" s="56" t="s">
        <v>472</v>
      </c>
      <c r="B10" s="69" t="s">
        <v>84</v>
      </c>
      <c r="C10" s="69" t="s">
        <v>88</v>
      </c>
      <c r="D10" s="69" t="s">
        <v>84</v>
      </c>
      <c r="E10" s="91" t="s">
        <v>88</v>
      </c>
      <c r="F10" s="69" t="s">
        <v>84</v>
      </c>
      <c r="G10" s="69" t="s">
        <v>84</v>
      </c>
      <c r="H10" s="91" t="s">
        <v>84</v>
      </c>
      <c r="I10" s="69" t="s">
        <v>84</v>
      </c>
      <c r="J10" s="69" t="s">
        <v>84</v>
      </c>
      <c r="K10" s="69" t="s">
        <v>88</v>
      </c>
      <c r="L10" s="69" t="s">
        <v>88</v>
      </c>
      <c r="M10" s="69" t="s">
        <v>84</v>
      </c>
      <c r="N10" s="56"/>
      <c r="O10" s="69" t="s">
        <v>88</v>
      </c>
      <c r="P10" s="69" t="s">
        <v>88</v>
      </c>
      <c r="Q10" s="92" t="s">
        <v>84</v>
      </c>
      <c r="R10" s="92" t="s">
        <v>84</v>
      </c>
      <c r="S10" s="69" t="s">
        <v>84</v>
      </c>
      <c r="T10" s="69"/>
      <c r="U10" s="69" t="s">
        <v>585</v>
      </c>
      <c r="V10" s="69" t="s">
        <v>585</v>
      </c>
      <c r="W10" s="69" t="s">
        <v>88</v>
      </c>
      <c r="X10" s="69" t="s">
        <v>84</v>
      </c>
      <c r="Y10" s="69" t="s">
        <v>84</v>
      </c>
      <c r="Z10" s="69" t="s">
        <v>84</v>
      </c>
      <c r="AA10" s="69"/>
      <c r="AB10" s="93" t="s">
        <v>88</v>
      </c>
      <c r="AC10" s="58"/>
      <c r="AD10" s="93" t="s">
        <v>88</v>
      </c>
      <c r="AE10" s="58"/>
      <c r="AF10" s="93"/>
      <c r="AG10" s="58">
        <v>46063</v>
      </c>
      <c r="AH10" s="69" t="s">
        <v>84</v>
      </c>
      <c r="AI10" s="69" t="s">
        <v>84</v>
      </c>
      <c r="AJ10" s="69" t="s">
        <v>66</v>
      </c>
      <c r="AK10" s="69" t="s">
        <v>66</v>
      </c>
      <c r="AL10" s="69" t="s">
        <v>66</v>
      </c>
      <c r="AM10" s="69" t="s">
        <v>66</v>
      </c>
      <c r="AN10" s="69" t="s">
        <v>66</v>
      </c>
      <c r="AO10" s="69"/>
      <c r="AP10" s="69"/>
      <c r="AQ10" s="69"/>
      <c r="AR10" s="69"/>
      <c r="AS10" s="69"/>
      <c r="AT10" s="69"/>
      <c r="AU10" s="69"/>
      <c r="AV10" s="243">
        <f t="shared" si="0"/>
        <v>0.75</v>
      </c>
      <c r="AW10" s="69" t="str">
        <f t="shared" si="1"/>
        <v>In Progress</v>
      </c>
    </row>
    <row r="11" spans="1:49" x14ac:dyDescent="0.35">
      <c r="A11" s="56" t="s">
        <v>475</v>
      </c>
      <c r="B11" s="69" t="s">
        <v>84</v>
      </c>
      <c r="C11" s="69" t="s">
        <v>88</v>
      </c>
      <c r="D11" s="69" t="s">
        <v>84</v>
      </c>
      <c r="E11" s="91" t="s">
        <v>88</v>
      </c>
      <c r="F11" s="69" t="s">
        <v>84</v>
      </c>
      <c r="G11" s="69" t="s">
        <v>84</v>
      </c>
      <c r="H11" s="91" t="s">
        <v>84</v>
      </c>
      <c r="I11" s="69" t="s">
        <v>88</v>
      </c>
      <c r="J11" s="69" t="s">
        <v>84</v>
      </c>
      <c r="K11" s="69" t="s">
        <v>84</v>
      </c>
      <c r="L11" s="69" t="s">
        <v>88</v>
      </c>
      <c r="M11" s="69" t="s">
        <v>88</v>
      </c>
      <c r="N11" s="56"/>
      <c r="O11" s="69" t="s">
        <v>88</v>
      </c>
      <c r="P11" s="69" t="s">
        <v>88</v>
      </c>
      <c r="Q11" s="92" t="s">
        <v>84</v>
      </c>
      <c r="R11" s="92" t="s">
        <v>84</v>
      </c>
      <c r="S11" s="69" t="s">
        <v>84</v>
      </c>
      <c r="T11" s="69"/>
      <c r="U11" s="69" t="s">
        <v>585</v>
      </c>
      <c r="V11" s="69" t="s">
        <v>585</v>
      </c>
      <c r="W11" s="69" t="s">
        <v>88</v>
      </c>
      <c r="X11" s="69" t="s">
        <v>84</v>
      </c>
      <c r="Y11" s="69" t="s">
        <v>84</v>
      </c>
      <c r="Z11" s="69" t="s">
        <v>84</v>
      </c>
      <c r="AA11" s="69"/>
      <c r="AB11" s="93" t="s">
        <v>84</v>
      </c>
      <c r="AC11" s="58"/>
      <c r="AD11" s="93" t="s">
        <v>88</v>
      </c>
      <c r="AE11" s="58"/>
      <c r="AF11" s="93"/>
      <c r="AG11" s="58">
        <v>46049</v>
      </c>
      <c r="AH11" s="69" t="s">
        <v>84</v>
      </c>
      <c r="AI11" s="69" t="s">
        <v>84</v>
      </c>
      <c r="AJ11" s="69" t="s">
        <v>66</v>
      </c>
      <c r="AK11" s="69" t="s">
        <v>66</v>
      </c>
      <c r="AL11" s="69" t="s">
        <v>66</v>
      </c>
      <c r="AM11" s="69" t="s">
        <v>66</v>
      </c>
      <c r="AN11" s="69" t="s">
        <v>66</v>
      </c>
      <c r="AO11" s="69"/>
      <c r="AP11" s="69"/>
      <c r="AQ11" s="69"/>
      <c r="AR11" s="69"/>
      <c r="AS11" s="69"/>
      <c r="AT11" s="69"/>
      <c r="AU11" s="69"/>
      <c r="AV11" s="243">
        <f t="shared" si="0"/>
        <v>0.75</v>
      </c>
      <c r="AW11" s="69" t="str">
        <f t="shared" si="1"/>
        <v>In Progress</v>
      </c>
    </row>
    <row r="12" spans="1:49" x14ac:dyDescent="0.35">
      <c r="A12" s="56" t="s">
        <v>567</v>
      </c>
      <c r="B12" s="69" t="s">
        <v>66</v>
      </c>
      <c r="C12" s="69" t="s">
        <v>66</v>
      </c>
      <c r="D12" s="69" t="s">
        <v>66</v>
      </c>
      <c r="E12" s="91" t="s">
        <v>66</v>
      </c>
      <c r="F12" s="69" t="s">
        <v>66</v>
      </c>
      <c r="G12" s="69" t="s">
        <v>66</v>
      </c>
      <c r="H12" s="91" t="s">
        <v>66</v>
      </c>
      <c r="I12" s="69" t="s">
        <v>66</v>
      </c>
      <c r="J12" s="69" t="s">
        <v>66</v>
      </c>
      <c r="K12" s="69" t="s">
        <v>66</v>
      </c>
      <c r="L12" s="69" t="s">
        <v>66</v>
      </c>
      <c r="M12" s="69" t="s">
        <v>66</v>
      </c>
      <c r="N12" s="56"/>
      <c r="O12" s="69" t="s">
        <v>66</v>
      </c>
      <c r="P12" s="69" t="s">
        <v>66</v>
      </c>
      <c r="Q12" s="92" t="s">
        <v>66</v>
      </c>
      <c r="R12" s="92" t="s">
        <v>66</v>
      </c>
      <c r="S12" s="69" t="s">
        <v>66</v>
      </c>
      <c r="T12" s="69"/>
      <c r="U12" s="69" t="s">
        <v>66</v>
      </c>
      <c r="V12" s="69" t="s">
        <v>66</v>
      </c>
      <c r="W12" s="69" t="s">
        <v>66</v>
      </c>
      <c r="X12" s="69" t="s">
        <v>66</v>
      </c>
      <c r="Y12" s="69" t="s">
        <v>66</v>
      </c>
      <c r="Z12" s="69" t="s">
        <v>66</v>
      </c>
      <c r="AA12" s="69"/>
      <c r="AB12" s="93" t="s">
        <v>66</v>
      </c>
      <c r="AC12" s="58"/>
      <c r="AD12" s="93" t="s">
        <v>586</v>
      </c>
      <c r="AE12" s="58"/>
      <c r="AF12" s="93"/>
      <c r="AG12" s="58"/>
      <c r="AH12" s="69" t="s">
        <v>66</v>
      </c>
      <c r="AI12" s="69" t="s">
        <v>66</v>
      </c>
      <c r="AJ12" s="69" t="s">
        <v>66</v>
      </c>
      <c r="AK12" s="69" t="s">
        <v>66</v>
      </c>
      <c r="AL12" s="69" t="s">
        <v>66</v>
      </c>
      <c r="AM12" s="69" t="s">
        <v>66</v>
      </c>
      <c r="AN12" s="69" t="s">
        <v>66</v>
      </c>
      <c r="AO12" s="69"/>
      <c r="AP12" s="69"/>
      <c r="AQ12" s="69"/>
      <c r="AR12" s="69"/>
      <c r="AS12" s="69"/>
      <c r="AT12" s="69"/>
      <c r="AU12" s="69"/>
      <c r="AV12" s="243">
        <f t="shared" si="0"/>
        <v>0</v>
      </c>
      <c r="AW12" s="69" t="str">
        <f t="shared" si="1"/>
        <v>Not Started</v>
      </c>
    </row>
    <row r="13" spans="1:49" x14ac:dyDescent="0.35">
      <c r="A13" s="56" t="s">
        <v>568</v>
      </c>
      <c r="B13" s="69" t="s">
        <v>66</v>
      </c>
      <c r="C13" s="69" t="s">
        <v>66</v>
      </c>
      <c r="D13" s="69" t="s">
        <v>66</v>
      </c>
      <c r="E13" s="91" t="s">
        <v>66</v>
      </c>
      <c r="F13" s="69" t="s">
        <v>66</v>
      </c>
      <c r="G13" s="69" t="s">
        <v>66</v>
      </c>
      <c r="H13" s="91" t="s">
        <v>66</v>
      </c>
      <c r="I13" s="69" t="s">
        <v>66</v>
      </c>
      <c r="J13" s="69" t="s">
        <v>66</v>
      </c>
      <c r="K13" s="69" t="s">
        <v>66</v>
      </c>
      <c r="L13" s="69" t="s">
        <v>66</v>
      </c>
      <c r="M13" s="69" t="s">
        <v>66</v>
      </c>
      <c r="N13" s="56"/>
      <c r="O13" s="69" t="s">
        <v>66</v>
      </c>
      <c r="P13" s="69" t="s">
        <v>66</v>
      </c>
      <c r="Q13" s="92" t="s">
        <v>66</v>
      </c>
      <c r="R13" s="92" t="s">
        <v>66</v>
      </c>
      <c r="S13" s="69" t="s">
        <v>66</v>
      </c>
      <c r="T13" s="69"/>
      <c r="U13" s="69" t="s">
        <v>66</v>
      </c>
      <c r="V13" s="69" t="s">
        <v>66</v>
      </c>
      <c r="W13" s="69" t="s">
        <v>66</v>
      </c>
      <c r="X13" s="69" t="s">
        <v>66</v>
      </c>
      <c r="Y13" s="69" t="s">
        <v>66</v>
      </c>
      <c r="Z13" s="69" t="s">
        <v>66</v>
      </c>
      <c r="AA13" s="69"/>
      <c r="AB13" s="93" t="s">
        <v>66</v>
      </c>
      <c r="AC13" s="58"/>
      <c r="AD13" s="93" t="s">
        <v>586</v>
      </c>
      <c r="AE13" s="58"/>
      <c r="AF13" s="93"/>
      <c r="AG13" s="58"/>
      <c r="AH13" s="69" t="s">
        <v>66</v>
      </c>
      <c r="AI13" s="69" t="s">
        <v>66</v>
      </c>
      <c r="AJ13" s="69" t="s">
        <v>66</v>
      </c>
      <c r="AK13" s="69" t="s">
        <v>66</v>
      </c>
      <c r="AL13" s="69" t="s">
        <v>66</v>
      </c>
      <c r="AM13" s="69" t="s">
        <v>66</v>
      </c>
      <c r="AN13" s="69" t="s">
        <v>66</v>
      </c>
      <c r="AO13" s="69"/>
      <c r="AP13" s="69"/>
      <c r="AQ13" s="69"/>
      <c r="AR13" s="69"/>
      <c r="AS13" s="69"/>
      <c r="AT13" s="69"/>
      <c r="AU13" s="69"/>
      <c r="AV13" s="243">
        <f t="shared" si="0"/>
        <v>0</v>
      </c>
      <c r="AW13" s="69" t="str">
        <f t="shared" si="1"/>
        <v>Not Started</v>
      </c>
    </row>
    <row r="14" spans="1:49" x14ac:dyDescent="0.35">
      <c r="A14" s="56" t="s">
        <v>470</v>
      </c>
      <c r="B14" s="69" t="s">
        <v>66</v>
      </c>
      <c r="C14" s="69" t="s">
        <v>66</v>
      </c>
      <c r="D14" s="69" t="s">
        <v>66</v>
      </c>
      <c r="E14" s="91" t="s">
        <v>66</v>
      </c>
      <c r="F14" s="69" t="s">
        <v>66</v>
      </c>
      <c r="G14" s="69" t="s">
        <v>66</v>
      </c>
      <c r="H14" s="91" t="s">
        <v>66</v>
      </c>
      <c r="I14" s="69" t="s">
        <v>66</v>
      </c>
      <c r="J14" s="69" t="s">
        <v>66</v>
      </c>
      <c r="K14" s="69" t="s">
        <v>66</v>
      </c>
      <c r="L14" s="69" t="s">
        <v>66</v>
      </c>
      <c r="M14" s="69" t="s">
        <v>66</v>
      </c>
      <c r="N14" s="56"/>
      <c r="O14" s="69" t="s">
        <v>66</v>
      </c>
      <c r="P14" s="69" t="s">
        <v>66</v>
      </c>
      <c r="Q14" s="92" t="s">
        <v>66</v>
      </c>
      <c r="R14" s="92" t="s">
        <v>66</v>
      </c>
      <c r="S14" s="69" t="s">
        <v>66</v>
      </c>
      <c r="T14" s="69"/>
      <c r="U14" s="69" t="s">
        <v>66</v>
      </c>
      <c r="V14" s="69" t="s">
        <v>66</v>
      </c>
      <c r="W14" s="69" t="s">
        <v>66</v>
      </c>
      <c r="X14" s="69" t="s">
        <v>66</v>
      </c>
      <c r="Y14" s="69" t="s">
        <v>66</v>
      </c>
      <c r="Z14" s="69" t="s">
        <v>66</v>
      </c>
      <c r="AA14" s="69"/>
      <c r="AB14" s="93" t="s">
        <v>66</v>
      </c>
      <c r="AC14" s="58"/>
      <c r="AD14" s="93" t="s">
        <v>586</v>
      </c>
      <c r="AE14" s="58"/>
      <c r="AF14" s="93"/>
      <c r="AG14" s="58"/>
      <c r="AH14" s="69" t="s">
        <v>66</v>
      </c>
      <c r="AI14" s="69" t="s">
        <v>66</v>
      </c>
      <c r="AJ14" s="69" t="s">
        <v>66</v>
      </c>
      <c r="AK14" s="69" t="s">
        <v>66</v>
      </c>
      <c r="AL14" s="69" t="s">
        <v>66</v>
      </c>
      <c r="AM14" s="69" t="s">
        <v>66</v>
      </c>
      <c r="AN14" s="69" t="s">
        <v>66</v>
      </c>
      <c r="AO14" s="69"/>
      <c r="AP14" s="69"/>
      <c r="AQ14" s="69"/>
      <c r="AR14" s="69"/>
      <c r="AS14" s="69"/>
      <c r="AT14" s="69"/>
      <c r="AU14" s="69"/>
      <c r="AV14" s="243">
        <f t="shared" si="0"/>
        <v>0</v>
      </c>
      <c r="AW14" s="69" t="str">
        <f t="shared" si="1"/>
        <v>Not Started</v>
      </c>
    </row>
    <row r="15" spans="1:49" x14ac:dyDescent="0.35">
      <c r="A15" s="56" t="s">
        <v>569</v>
      </c>
      <c r="B15" s="69" t="s">
        <v>84</v>
      </c>
      <c r="C15" s="69" t="s">
        <v>88</v>
      </c>
      <c r="D15" s="69" t="s">
        <v>84</v>
      </c>
      <c r="E15" s="91" t="s">
        <v>88</v>
      </c>
      <c r="F15" s="69" t="s">
        <v>84</v>
      </c>
      <c r="G15" s="69" t="s">
        <v>84</v>
      </c>
      <c r="H15" s="91" t="s">
        <v>84</v>
      </c>
      <c r="I15" s="69" t="s">
        <v>88</v>
      </c>
      <c r="J15" s="69" t="s">
        <v>84</v>
      </c>
      <c r="K15" s="69" t="s">
        <v>88</v>
      </c>
      <c r="L15" s="69" t="s">
        <v>88</v>
      </c>
      <c r="M15" s="69" t="s">
        <v>88</v>
      </c>
      <c r="N15" s="56"/>
      <c r="O15" s="69" t="s">
        <v>88</v>
      </c>
      <c r="P15" s="69" t="s">
        <v>88</v>
      </c>
      <c r="Q15" s="92" t="s">
        <v>84</v>
      </c>
      <c r="R15" s="92" t="s">
        <v>84</v>
      </c>
      <c r="S15" s="69" t="s">
        <v>84</v>
      </c>
      <c r="T15" s="69"/>
      <c r="U15" s="69" t="s">
        <v>585</v>
      </c>
      <c r="V15" s="69" t="s">
        <v>585</v>
      </c>
      <c r="W15" s="69" t="s">
        <v>88</v>
      </c>
      <c r="X15" s="69" t="s">
        <v>84</v>
      </c>
      <c r="Y15" s="69" t="s">
        <v>84</v>
      </c>
      <c r="Z15" s="69" t="s">
        <v>84</v>
      </c>
      <c r="AA15" s="69"/>
      <c r="AB15" s="93" t="s">
        <v>88</v>
      </c>
      <c r="AC15" s="58"/>
      <c r="AD15" s="93" t="s">
        <v>88</v>
      </c>
      <c r="AE15" s="58"/>
      <c r="AF15" s="93"/>
      <c r="AG15" s="58">
        <v>46064</v>
      </c>
      <c r="AH15" s="69" t="s">
        <v>84</v>
      </c>
      <c r="AI15" s="69" t="s">
        <v>84</v>
      </c>
      <c r="AJ15" s="69" t="s">
        <v>66</v>
      </c>
      <c r="AK15" s="69" t="s">
        <v>66</v>
      </c>
      <c r="AL15" s="69" t="s">
        <v>66</v>
      </c>
      <c r="AM15" s="69" t="s">
        <v>66</v>
      </c>
      <c r="AN15" s="69" t="s">
        <v>66</v>
      </c>
      <c r="AO15" s="69"/>
      <c r="AP15" s="69"/>
      <c r="AQ15" s="69"/>
      <c r="AR15" s="69"/>
      <c r="AS15" s="69"/>
      <c r="AT15" s="69"/>
      <c r="AU15" s="69"/>
      <c r="AV15" s="243">
        <f t="shared" si="0"/>
        <v>0.72727272727272729</v>
      </c>
      <c r="AW15" s="69" t="str">
        <f t="shared" si="1"/>
        <v>In Progress</v>
      </c>
    </row>
    <row r="16" spans="1:49" x14ac:dyDescent="0.35">
      <c r="A16" s="56" t="s">
        <v>570</v>
      </c>
      <c r="B16" s="69" t="s">
        <v>66</v>
      </c>
      <c r="C16" s="69" t="s">
        <v>66</v>
      </c>
      <c r="D16" s="69" t="s">
        <v>66</v>
      </c>
      <c r="E16" s="91" t="s">
        <v>66</v>
      </c>
      <c r="F16" s="69" t="s">
        <v>66</v>
      </c>
      <c r="G16" s="69" t="s">
        <v>66</v>
      </c>
      <c r="H16" s="91" t="s">
        <v>66</v>
      </c>
      <c r="I16" s="69" t="s">
        <v>66</v>
      </c>
      <c r="J16" s="69" t="s">
        <v>66</v>
      </c>
      <c r="K16" s="69" t="s">
        <v>66</v>
      </c>
      <c r="L16" s="69" t="s">
        <v>66</v>
      </c>
      <c r="M16" s="69" t="s">
        <v>66</v>
      </c>
      <c r="N16" s="56"/>
      <c r="O16" s="69" t="s">
        <v>66</v>
      </c>
      <c r="P16" s="69" t="s">
        <v>66</v>
      </c>
      <c r="Q16" s="92" t="s">
        <v>66</v>
      </c>
      <c r="R16" s="92" t="s">
        <v>66</v>
      </c>
      <c r="S16" s="69" t="s">
        <v>66</v>
      </c>
      <c r="T16" s="69"/>
      <c r="U16" s="69" t="s">
        <v>66</v>
      </c>
      <c r="V16" s="69" t="s">
        <v>66</v>
      </c>
      <c r="W16" s="69" t="s">
        <v>66</v>
      </c>
      <c r="X16" s="69" t="s">
        <v>66</v>
      </c>
      <c r="Y16" s="69" t="s">
        <v>66</v>
      </c>
      <c r="Z16" s="69" t="s">
        <v>66</v>
      </c>
      <c r="AA16" s="69"/>
      <c r="AB16" s="93" t="s">
        <v>66</v>
      </c>
      <c r="AC16" s="58"/>
      <c r="AD16" s="93" t="s">
        <v>586</v>
      </c>
      <c r="AE16" s="58"/>
      <c r="AF16" s="93"/>
      <c r="AG16" s="58"/>
      <c r="AH16" s="69" t="s">
        <v>66</v>
      </c>
      <c r="AI16" s="69" t="s">
        <v>66</v>
      </c>
      <c r="AJ16" s="69" t="s">
        <v>66</v>
      </c>
      <c r="AK16" s="69" t="s">
        <v>66</v>
      </c>
      <c r="AL16" s="69" t="s">
        <v>66</v>
      </c>
      <c r="AM16" s="69" t="s">
        <v>66</v>
      </c>
      <c r="AN16" s="69" t="s">
        <v>66</v>
      </c>
      <c r="AO16" s="69"/>
      <c r="AP16" s="69"/>
      <c r="AQ16" s="69"/>
      <c r="AR16" s="69"/>
      <c r="AS16" s="69"/>
      <c r="AT16" s="69"/>
      <c r="AU16" s="69"/>
      <c r="AV16" s="243">
        <f t="shared" si="0"/>
        <v>0</v>
      </c>
      <c r="AW16" s="69" t="str">
        <f t="shared" si="1"/>
        <v>Not Started</v>
      </c>
    </row>
    <row r="17" spans="1:49" x14ac:dyDescent="0.35">
      <c r="A17" s="56" t="s">
        <v>571</v>
      </c>
      <c r="B17" s="69" t="s">
        <v>66</v>
      </c>
      <c r="C17" s="69" t="s">
        <v>66</v>
      </c>
      <c r="D17" s="69" t="s">
        <v>66</v>
      </c>
      <c r="E17" s="91" t="s">
        <v>66</v>
      </c>
      <c r="F17" s="69" t="s">
        <v>66</v>
      </c>
      <c r="G17" s="69" t="s">
        <v>66</v>
      </c>
      <c r="H17" s="91" t="s">
        <v>66</v>
      </c>
      <c r="I17" s="69" t="s">
        <v>66</v>
      </c>
      <c r="J17" s="69" t="s">
        <v>66</v>
      </c>
      <c r="K17" s="69" t="s">
        <v>66</v>
      </c>
      <c r="L17" s="69" t="s">
        <v>66</v>
      </c>
      <c r="M17" s="69" t="s">
        <v>66</v>
      </c>
      <c r="N17" s="56"/>
      <c r="O17" s="69" t="s">
        <v>66</v>
      </c>
      <c r="P17" s="69" t="s">
        <v>66</v>
      </c>
      <c r="Q17" s="92" t="s">
        <v>66</v>
      </c>
      <c r="R17" s="92" t="s">
        <v>66</v>
      </c>
      <c r="S17" s="69" t="s">
        <v>66</v>
      </c>
      <c r="T17" s="69"/>
      <c r="U17" s="69" t="s">
        <v>66</v>
      </c>
      <c r="V17" s="69" t="s">
        <v>66</v>
      </c>
      <c r="W17" s="69" t="s">
        <v>66</v>
      </c>
      <c r="X17" s="69" t="s">
        <v>66</v>
      </c>
      <c r="Y17" s="69" t="s">
        <v>66</v>
      </c>
      <c r="Z17" s="69" t="s">
        <v>66</v>
      </c>
      <c r="AA17" s="69"/>
      <c r="AB17" s="93" t="s">
        <v>66</v>
      </c>
      <c r="AC17" s="58"/>
      <c r="AD17" s="93" t="s">
        <v>586</v>
      </c>
      <c r="AE17" s="58"/>
      <c r="AF17" s="93"/>
      <c r="AG17" s="58"/>
      <c r="AH17" s="69" t="s">
        <v>66</v>
      </c>
      <c r="AI17" s="69" t="s">
        <v>66</v>
      </c>
      <c r="AJ17" s="69" t="s">
        <v>66</v>
      </c>
      <c r="AK17" s="69" t="s">
        <v>66</v>
      </c>
      <c r="AL17" s="69" t="s">
        <v>66</v>
      </c>
      <c r="AM17" s="69" t="s">
        <v>66</v>
      </c>
      <c r="AN17" s="69" t="s">
        <v>66</v>
      </c>
      <c r="AO17" s="69"/>
      <c r="AP17" s="69"/>
      <c r="AQ17" s="69"/>
      <c r="AR17" s="69"/>
      <c r="AS17" s="69"/>
      <c r="AT17" s="69"/>
      <c r="AU17" s="69"/>
      <c r="AV17" s="243">
        <f t="shared" si="0"/>
        <v>0</v>
      </c>
      <c r="AW17" s="69" t="str">
        <f t="shared" si="1"/>
        <v>Not Started</v>
      </c>
    </row>
    <row r="18" spans="1:49" x14ac:dyDescent="0.35">
      <c r="A18" s="56" t="s">
        <v>572</v>
      </c>
      <c r="B18" s="69" t="s">
        <v>66</v>
      </c>
      <c r="C18" s="69" t="s">
        <v>66</v>
      </c>
      <c r="D18" s="69" t="s">
        <v>66</v>
      </c>
      <c r="E18" s="91" t="s">
        <v>66</v>
      </c>
      <c r="F18" s="69" t="s">
        <v>66</v>
      </c>
      <c r="G18" s="69" t="s">
        <v>66</v>
      </c>
      <c r="H18" s="91" t="s">
        <v>66</v>
      </c>
      <c r="I18" s="69" t="s">
        <v>66</v>
      </c>
      <c r="J18" s="69" t="s">
        <v>66</v>
      </c>
      <c r="K18" s="69" t="s">
        <v>66</v>
      </c>
      <c r="L18" s="69" t="s">
        <v>66</v>
      </c>
      <c r="M18" s="69" t="s">
        <v>66</v>
      </c>
      <c r="N18" s="56"/>
      <c r="O18" s="69" t="s">
        <v>66</v>
      </c>
      <c r="P18" s="69" t="s">
        <v>66</v>
      </c>
      <c r="Q18" s="92" t="s">
        <v>66</v>
      </c>
      <c r="R18" s="92" t="s">
        <v>66</v>
      </c>
      <c r="S18" s="69" t="s">
        <v>66</v>
      </c>
      <c r="T18" s="69"/>
      <c r="U18" s="69" t="s">
        <v>66</v>
      </c>
      <c r="V18" s="69" t="s">
        <v>66</v>
      </c>
      <c r="W18" s="69" t="s">
        <v>66</v>
      </c>
      <c r="X18" s="69" t="s">
        <v>66</v>
      </c>
      <c r="Y18" s="69" t="s">
        <v>66</v>
      </c>
      <c r="Z18" s="69" t="s">
        <v>66</v>
      </c>
      <c r="AA18" s="69"/>
      <c r="AB18" s="93" t="s">
        <v>66</v>
      </c>
      <c r="AC18" s="58"/>
      <c r="AD18" s="93" t="s">
        <v>586</v>
      </c>
      <c r="AE18" s="58"/>
      <c r="AF18" s="93"/>
      <c r="AG18" s="58"/>
      <c r="AH18" s="69" t="s">
        <v>66</v>
      </c>
      <c r="AI18" s="69" t="s">
        <v>66</v>
      </c>
      <c r="AJ18" s="69" t="s">
        <v>66</v>
      </c>
      <c r="AK18" s="69" t="s">
        <v>66</v>
      </c>
      <c r="AL18" s="69" t="s">
        <v>66</v>
      </c>
      <c r="AM18" s="69" t="s">
        <v>66</v>
      </c>
      <c r="AN18" s="69" t="s">
        <v>66</v>
      </c>
      <c r="AO18" s="69"/>
      <c r="AP18" s="69"/>
      <c r="AQ18" s="69"/>
      <c r="AR18" s="69"/>
      <c r="AS18" s="69"/>
      <c r="AT18" s="69"/>
      <c r="AU18" s="69"/>
      <c r="AV18" s="243">
        <f t="shared" si="0"/>
        <v>0</v>
      </c>
      <c r="AW18" s="69" t="str">
        <f t="shared" si="1"/>
        <v>Not Started</v>
      </c>
    </row>
    <row r="19" spans="1:49" x14ac:dyDescent="0.35">
      <c r="A19" s="56" t="s">
        <v>573</v>
      </c>
      <c r="B19" s="69" t="s">
        <v>66</v>
      </c>
      <c r="C19" s="69" t="s">
        <v>66</v>
      </c>
      <c r="D19" s="69" t="s">
        <v>66</v>
      </c>
      <c r="E19" s="91" t="s">
        <v>66</v>
      </c>
      <c r="F19" s="69" t="s">
        <v>66</v>
      </c>
      <c r="G19" s="69" t="s">
        <v>66</v>
      </c>
      <c r="H19" s="91" t="s">
        <v>66</v>
      </c>
      <c r="I19" s="69" t="s">
        <v>66</v>
      </c>
      <c r="J19" s="69" t="s">
        <v>66</v>
      </c>
      <c r="K19" s="69" t="s">
        <v>66</v>
      </c>
      <c r="L19" s="69" t="s">
        <v>66</v>
      </c>
      <c r="M19" s="69" t="s">
        <v>66</v>
      </c>
      <c r="N19" s="56"/>
      <c r="O19" s="69" t="s">
        <v>66</v>
      </c>
      <c r="P19" s="69" t="s">
        <v>66</v>
      </c>
      <c r="Q19" s="92" t="s">
        <v>66</v>
      </c>
      <c r="R19" s="92" t="s">
        <v>66</v>
      </c>
      <c r="S19" s="69" t="s">
        <v>66</v>
      </c>
      <c r="T19" s="69"/>
      <c r="U19" s="69" t="s">
        <v>66</v>
      </c>
      <c r="V19" s="69" t="s">
        <v>66</v>
      </c>
      <c r="W19" s="69" t="s">
        <v>66</v>
      </c>
      <c r="X19" s="69" t="s">
        <v>66</v>
      </c>
      <c r="Y19" s="69" t="s">
        <v>66</v>
      </c>
      <c r="Z19" s="69" t="s">
        <v>66</v>
      </c>
      <c r="AA19" s="69"/>
      <c r="AB19" s="93" t="s">
        <v>66</v>
      </c>
      <c r="AC19" s="58"/>
      <c r="AD19" s="93" t="s">
        <v>586</v>
      </c>
      <c r="AE19" s="58"/>
      <c r="AF19" s="93"/>
      <c r="AG19" s="58"/>
      <c r="AH19" s="69" t="s">
        <v>66</v>
      </c>
      <c r="AI19" s="69" t="s">
        <v>66</v>
      </c>
      <c r="AJ19" s="69" t="s">
        <v>66</v>
      </c>
      <c r="AK19" s="69" t="s">
        <v>66</v>
      </c>
      <c r="AL19" s="69" t="s">
        <v>66</v>
      </c>
      <c r="AM19" s="69" t="s">
        <v>66</v>
      </c>
      <c r="AN19" s="69" t="s">
        <v>66</v>
      </c>
      <c r="AO19" s="69"/>
      <c r="AP19" s="69"/>
      <c r="AQ19" s="69"/>
      <c r="AR19" s="69"/>
      <c r="AS19" s="69"/>
      <c r="AT19" s="69"/>
      <c r="AU19" s="69"/>
      <c r="AV19" s="243">
        <f t="shared" si="0"/>
        <v>0</v>
      </c>
      <c r="AW19" s="69" t="str">
        <f t="shared" si="1"/>
        <v>Not Started</v>
      </c>
    </row>
    <row r="20" spans="1:49" x14ac:dyDescent="0.35">
      <c r="A20" s="56" t="s">
        <v>574</v>
      </c>
      <c r="B20" s="69" t="s">
        <v>66</v>
      </c>
      <c r="C20" s="69" t="s">
        <v>66</v>
      </c>
      <c r="D20" s="69" t="s">
        <v>66</v>
      </c>
      <c r="E20" s="91" t="s">
        <v>66</v>
      </c>
      <c r="F20" s="69" t="s">
        <v>66</v>
      </c>
      <c r="G20" s="69" t="s">
        <v>66</v>
      </c>
      <c r="H20" s="91" t="s">
        <v>66</v>
      </c>
      <c r="I20" s="69" t="s">
        <v>66</v>
      </c>
      <c r="J20" s="69" t="s">
        <v>66</v>
      </c>
      <c r="K20" s="69" t="s">
        <v>66</v>
      </c>
      <c r="L20" s="69" t="s">
        <v>66</v>
      </c>
      <c r="M20" s="69" t="s">
        <v>66</v>
      </c>
      <c r="N20" s="56"/>
      <c r="O20" s="69" t="s">
        <v>66</v>
      </c>
      <c r="P20" s="69" t="s">
        <v>66</v>
      </c>
      <c r="Q20" s="92" t="s">
        <v>66</v>
      </c>
      <c r="R20" s="92" t="s">
        <v>66</v>
      </c>
      <c r="S20" s="69" t="s">
        <v>66</v>
      </c>
      <c r="T20" s="69"/>
      <c r="U20" s="69" t="s">
        <v>66</v>
      </c>
      <c r="V20" s="69" t="s">
        <v>66</v>
      </c>
      <c r="W20" s="69" t="s">
        <v>66</v>
      </c>
      <c r="X20" s="69" t="s">
        <v>66</v>
      </c>
      <c r="Y20" s="69" t="s">
        <v>66</v>
      </c>
      <c r="Z20" s="69" t="s">
        <v>66</v>
      </c>
      <c r="AA20" s="69"/>
      <c r="AB20" s="93" t="s">
        <v>66</v>
      </c>
      <c r="AC20" s="58"/>
      <c r="AD20" s="93" t="s">
        <v>586</v>
      </c>
      <c r="AE20" s="58"/>
      <c r="AF20" s="93"/>
      <c r="AG20" s="58"/>
      <c r="AH20" s="69" t="s">
        <v>66</v>
      </c>
      <c r="AI20" s="69" t="s">
        <v>66</v>
      </c>
      <c r="AJ20" s="69" t="s">
        <v>66</v>
      </c>
      <c r="AK20" s="69" t="s">
        <v>66</v>
      </c>
      <c r="AL20" s="69" t="s">
        <v>66</v>
      </c>
      <c r="AM20" s="69" t="s">
        <v>66</v>
      </c>
      <c r="AN20" s="69" t="s">
        <v>66</v>
      </c>
      <c r="AO20" s="69"/>
      <c r="AP20" s="69"/>
      <c r="AQ20" s="69"/>
      <c r="AR20" s="69"/>
      <c r="AS20" s="69"/>
      <c r="AT20" s="69"/>
      <c r="AU20" s="69"/>
      <c r="AV20" s="243">
        <f t="shared" si="0"/>
        <v>0</v>
      </c>
      <c r="AW20" s="69" t="str">
        <f t="shared" si="1"/>
        <v>Not Started</v>
      </c>
    </row>
    <row r="21" spans="1:49" x14ac:dyDescent="0.35">
      <c r="A21" s="56" t="s">
        <v>575</v>
      </c>
      <c r="B21" s="69" t="s">
        <v>66</v>
      </c>
      <c r="C21" s="69" t="s">
        <v>66</v>
      </c>
      <c r="D21" s="69" t="s">
        <v>66</v>
      </c>
      <c r="E21" s="91" t="s">
        <v>66</v>
      </c>
      <c r="F21" s="69" t="s">
        <v>66</v>
      </c>
      <c r="G21" s="69" t="s">
        <v>66</v>
      </c>
      <c r="H21" s="91" t="s">
        <v>66</v>
      </c>
      <c r="I21" s="69" t="s">
        <v>66</v>
      </c>
      <c r="J21" s="69" t="s">
        <v>66</v>
      </c>
      <c r="K21" s="69" t="s">
        <v>66</v>
      </c>
      <c r="L21" s="69" t="s">
        <v>66</v>
      </c>
      <c r="M21" s="69" t="s">
        <v>66</v>
      </c>
      <c r="N21" s="56"/>
      <c r="O21" s="69" t="s">
        <v>66</v>
      </c>
      <c r="P21" s="69" t="s">
        <v>66</v>
      </c>
      <c r="Q21" s="92" t="s">
        <v>66</v>
      </c>
      <c r="R21" s="92" t="s">
        <v>66</v>
      </c>
      <c r="S21" s="69" t="s">
        <v>66</v>
      </c>
      <c r="T21" s="69"/>
      <c r="U21" s="69" t="s">
        <v>66</v>
      </c>
      <c r="V21" s="69" t="s">
        <v>66</v>
      </c>
      <c r="W21" s="69" t="s">
        <v>66</v>
      </c>
      <c r="X21" s="69" t="s">
        <v>66</v>
      </c>
      <c r="Y21" s="69" t="s">
        <v>66</v>
      </c>
      <c r="Z21" s="69" t="s">
        <v>66</v>
      </c>
      <c r="AA21" s="69"/>
      <c r="AB21" s="93" t="s">
        <v>66</v>
      </c>
      <c r="AC21" s="58"/>
      <c r="AD21" s="93" t="s">
        <v>586</v>
      </c>
      <c r="AE21" s="58"/>
      <c r="AF21" s="93"/>
      <c r="AG21" s="58"/>
      <c r="AH21" s="69" t="s">
        <v>66</v>
      </c>
      <c r="AI21" s="69" t="s">
        <v>66</v>
      </c>
      <c r="AJ21" s="69" t="s">
        <v>66</v>
      </c>
      <c r="AK21" s="69" t="s">
        <v>66</v>
      </c>
      <c r="AL21" s="69" t="s">
        <v>66</v>
      </c>
      <c r="AM21" s="69" t="s">
        <v>66</v>
      </c>
      <c r="AN21" s="69" t="s">
        <v>66</v>
      </c>
      <c r="AO21" s="69"/>
      <c r="AP21" s="69"/>
      <c r="AQ21" s="69"/>
      <c r="AR21" s="69"/>
      <c r="AS21" s="69"/>
      <c r="AT21" s="69"/>
      <c r="AU21" s="69"/>
      <c r="AV21" s="243">
        <f t="shared" si="0"/>
        <v>0</v>
      </c>
      <c r="AW21" s="69" t="str">
        <f t="shared" si="1"/>
        <v>Not Started</v>
      </c>
    </row>
    <row r="22" spans="1:49" x14ac:dyDescent="0.35">
      <c r="A22" s="56" t="s">
        <v>576</v>
      </c>
      <c r="B22" s="69" t="s">
        <v>66</v>
      </c>
      <c r="C22" s="69" t="s">
        <v>66</v>
      </c>
      <c r="D22" s="69" t="s">
        <v>66</v>
      </c>
      <c r="E22" s="91" t="s">
        <v>66</v>
      </c>
      <c r="F22" s="69" t="s">
        <v>66</v>
      </c>
      <c r="G22" s="69" t="s">
        <v>66</v>
      </c>
      <c r="H22" s="91" t="s">
        <v>66</v>
      </c>
      <c r="I22" s="69" t="s">
        <v>66</v>
      </c>
      <c r="J22" s="69" t="s">
        <v>66</v>
      </c>
      <c r="K22" s="69" t="s">
        <v>66</v>
      </c>
      <c r="L22" s="69" t="s">
        <v>66</v>
      </c>
      <c r="M22" s="69" t="s">
        <v>66</v>
      </c>
      <c r="N22" s="56"/>
      <c r="O22" s="69" t="s">
        <v>66</v>
      </c>
      <c r="P22" s="69" t="s">
        <v>66</v>
      </c>
      <c r="Q22" s="92" t="s">
        <v>66</v>
      </c>
      <c r="R22" s="92" t="s">
        <v>66</v>
      </c>
      <c r="S22" s="69" t="s">
        <v>66</v>
      </c>
      <c r="T22" s="69"/>
      <c r="U22" s="69" t="s">
        <v>66</v>
      </c>
      <c r="V22" s="69" t="s">
        <v>66</v>
      </c>
      <c r="W22" s="69" t="s">
        <v>66</v>
      </c>
      <c r="X22" s="69" t="s">
        <v>66</v>
      </c>
      <c r="Y22" s="69" t="s">
        <v>66</v>
      </c>
      <c r="Z22" s="69" t="s">
        <v>66</v>
      </c>
      <c r="AA22" s="69"/>
      <c r="AB22" s="93" t="s">
        <v>66</v>
      </c>
      <c r="AC22" s="58"/>
      <c r="AD22" s="93" t="s">
        <v>586</v>
      </c>
      <c r="AE22" s="58"/>
      <c r="AF22" s="93"/>
      <c r="AG22" s="58"/>
      <c r="AH22" s="69" t="s">
        <v>66</v>
      </c>
      <c r="AI22" s="69" t="s">
        <v>66</v>
      </c>
      <c r="AJ22" s="69" t="s">
        <v>66</v>
      </c>
      <c r="AK22" s="69" t="s">
        <v>66</v>
      </c>
      <c r="AL22" s="69" t="s">
        <v>66</v>
      </c>
      <c r="AM22" s="69" t="s">
        <v>66</v>
      </c>
      <c r="AN22" s="69" t="s">
        <v>66</v>
      </c>
      <c r="AO22" s="69"/>
      <c r="AP22" s="69"/>
      <c r="AQ22" s="69"/>
      <c r="AR22" s="69"/>
      <c r="AS22" s="69"/>
      <c r="AT22" s="69"/>
      <c r="AU22" s="69"/>
      <c r="AV22" s="243">
        <f t="shared" si="0"/>
        <v>0</v>
      </c>
      <c r="AW22" s="69" t="str">
        <f t="shared" si="1"/>
        <v>Not Started</v>
      </c>
    </row>
    <row r="23" spans="1:49" x14ac:dyDescent="0.35">
      <c r="A23" s="56" t="s">
        <v>577</v>
      </c>
      <c r="B23" s="69" t="s">
        <v>84</v>
      </c>
      <c r="C23" s="69" t="s">
        <v>88</v>
      </c>
      <c r="D23" s="69" t="s">
        <v>84</v>
      </c>
      <c r="E23" s="91" t="s">
        <v>88</v>
      </c>
      <c r="F23" s="69" t="s">
        <v>84</v>
      </c>
      <c r="G23" s="69" t="s">
        <v>84</v>
      </c>
      <c r="H23" s="91" t="s">
        <v>84</v>
      </c>
      <c r="I23" s="69" t="s">
        <v>88</v>
      </c>
      <c r="J23" s="69" t="s">
        <v>84</v>
      </c>
      <c r="K23" s="69" t="s">
        <v>88</v>
      </c>
      <c r="L23" s="69" t="s">
        <v>88</v>
      </c>
      <c r="M23" s="69" t="s">
        <v>84</v>
      </c>
      <c r="N23" s="56"/>
      <c r="O23" s="69" t="s">
        <v>88</v>
      </c>
      <c r="P23" s="69" t="s">
        <v>84</v>
      </c>
      <c r="Q23" s="92" t="s">
        <v>84</v>
      </c>
      <c r="R23" s="92" t="s">
        <v>84</v>
      </c>
      <c r="S23" s="69" t="s">
        <v>84</v>
      </c>
      <c r="T23" s="69"/>
      <c r="U23" s="69" t="s">
        <v>585</v>
      </c>
      <c r="V23" s="69" t="s">
        <v>585</v>
      </c>
      <c r="W23" s="69" t="s">
        <v>88</v>
      </c>
      <c r="X23" s="69" t="s">
        <v>84</v>
      </c>
      <c r="Y23" s="69" t="s">
        <v>84</v>
      </c>
      <c r="Z23" s="69" t="s">
        <v>84</v>
      </c>
      <c r="AA23" s="69"/>
      <c r="AB23" s="93" t="s">
        <v>88</v>
      </c>
      <c r="AC23" s="58"/>
      <c r="AD23" s="93" t="s">
        <v>88</v>
      </c>
      <c r="AE23" s="58"/>
      <c r="AF23" s="93"/>
      <c r="AG23" s="58">
        <v>46066</v>
      </c>
      <c r="AH23" s="69" t="s">
        <v>84</v>
      </c>
      <c r="AI23" s="69" t="s">
        <v>84</v>
      </c>
      <c r="AJ23" s="69" t="s">
        <v>66</v>
      </c>
      <c r="AK23" s="69" t="s">
        <v>66</v>
      </c>
      <c r="AL23" s="69" t="s">
        <v>66</v>
      </c>
      <c r="AM23" s="69" t="s">
        <v>66</v>
      </c>
      <c r="AN23" s="69" t="s">
        <v>66</v>
      </c>
      <c r="AO23" s="69"/>
      <c r="AP23" s="69"/>
      <c r="AQ23" s="69"/>
      <c r="AR23" s="69"/>
      <c r="AS23" s="69"/>
      <c r="AT23" s="69"/>
      <c r="AU23" s="69"/>
      <c r="AV23" s="243">
        <f t="shared" si="0"/>
        <v>0.75</v>
      </c>
      <c r="AW23" s="69" t="str">
        <f t="shared" si="1"/>
        <v>In Progress</v>
      </c>
    </row>
    <row r="24" spans="1:49" x14ac:dyDescent="0.35">
      <c r="A24" s="56" t="s">
        <v>578</v>
      </c>
      <c r="B24" s="69" t="s">
        <v>84</v>
      </c>
      <c r="C24" s="69" t="s">
        <v>88</v>
      </c>
      <c r="D24" s="69" t="s">
        <v>84</v>
      </c>
      <c r="E24" s="91" t="s">
        <v>84</v>
      </c>
      <c r="F24" s="69" t="s">
        <v>84</v>
      </c>
      <c r="G24" s="69" t="s">
        <v>84</v>
      </c>
      <c r="H24" s="91" t="s">
        <v>84</v>
      </c>
      <c r="I24" s="69" t="s">
        <v>88</v>
      </c>
      <c r="J24" s="69" t="s">
        <v>84</v>
      </c>
      <c r="K24" s="69" t="s">
        <v>84</v>
      </c>
      <c r="L24" s="69" t="s">
        <v>84</v>
      </c>
      <c r="M24" s="69" t="s">
        <v>88</v>
      </c>
      <c r="N24" s="56"/>
      <c r="O24" s="69" t="s">
        <v>88</v>
      </c>
      <c r="P24" s="69" t="s">
        <v>84</v>
      </c>
      <c r="Q24" s="92" t="s">
        <v>88</v>
      </c>
      <c r="R24" s="92" t="s">
        <v>84</v>
      </c>
      <c r="S24" s="69" t="s">
        <v>84</v>
      </c>
      <c r="T24" s="69"/>
      <c r="U24" s="69" t="s">
        <v>585</v>
      </c>
      <c r="V24" s="69" t="s">
        <v>585</v>
      </c>
      <c r="W24" s="69" t="s">
        <v>88</v>
      </c>
      <c r="X24" s="69" t="s">
        <v>84</v>
      </c>
      <c r="Y24" s="69" t="s">
        <v>88</v>
      </c>
      <c r="Z24" s="69" t="s">
        <v>84</v>
      </c>
      <c r="AA24" s="69"/>
      <c r="AB24" s="93" t="s">
        <v>88</v>
      </c>
      <c r="AC24" s="58">
        <v>46066</v>
      </c>
      <c r="AD24" s="93" t="s">
        <v>587</v>
      </c>
      <c r="AE24" s="58"/>
      <c r="AF24" s="93"/>
      <c r="AG24" s="58">
        <v>46070</v>
      </c>
      <c r="AH24" s="69" t="s">
        <v>84</v>
      </c>
      <c r="AI24" s="69" t="s">
        <v>84</v>
      </c>
      <c r="AJ24" s="69" t="s">
        <v>66</v>
      </c>
      <c r="AK24" s="69" t="s">
        <v>66</v>
      </c>
      <c r="AL24" s="69" t="s">
        <v>66</v>
      </c>
      <c r="AM24" s="69" t="s">
        <v>66</v>
      </c>
      <c r="AN24" s="69" t="s">
        <v>66</v>
      </c>
      <c r="AO24" s="69"/>
      <c r="AP24" s="69"/>
      <c r="AQ24" s="69"/>
      <c r="AR24" s="69"/>
      <c r="AS24" s="69"/>
      <c r="AT24" s="69"/>
      <c r="AU24" s="69"/>
      <c r="AV24" s="243">
        <f t="shared" si="0"/>
        <v>0.69230769230769229</v>
      </c>
      <c r="AW24" s="69" t="str">
        <f t="shared" si="1"/>
        <v>In Progress</v>
      </c>
    </row>
    <row r="25" spans="1:49" x14ac:dyDescent="0.35">
      <c r="A25" s="56" t="s">
        <v>579</v>
      </c>
      <c r="B25" s="69" t="s">
        <v>84</v>
      </c>
      <c r="C25" s="69" t="s">
        <v>84</v>
      </c>
      <c r="D25" s="69" t="s">
        <v>84</v>
      </c>
      <c r="E25" s="91" t="s">
        <v>88</v>
      </c>
      <c r="F25" s="69" t="s">
        <v>84</v>
      </c>
      <c r="G25" s="69" t="s">
        <v>84</v>
      </c>
      <c r="H25" s="91" t="s">
        <v>84</v>
      </c>
      <c r="I25" s="69" t="s">
        <v>88</v>
      </c>
      <c r="J25" s="69" t="s">
        <v>84</v>
      </c>
      <c r="K25" s="69" t="s">
        <v>88</v>
      </c>
      <c r="L25" s="69" t="s">
        <v>84</v>
      </c>
      <c r="M25" s="69" t="s">
        <v>84</v>
      </c>
      <c r="N25" s="56"/>
      <c r="O25" s="69" t="s">
        <v>84</v>
      </c>
      <c r="P25" s="69" t="s">
        <v>84</v>
      </c>
      <c r="Q25" s="92" t="s">
        <v>84</v>
      </c>
      <c r="R25" s="92" t="s">
        <v>88</v>
      </c>
      <c r="S25" s="69" t="s">
        <v>84</v>
      </c>
      <c r="T25" s="69"/>
      <c r="U25" s="69" t="s">
        <v>585</v>
      </c>
      <c r="V25" s="69" t="s">
        <v>585</v>
      </c>
      <c r="W25" s="69" t="s">
        <v>84</v>
      </c>
      <c r="X25" s="69" t="s">
        <v>84</v>
      </c>
      <c r="Y25" s="69" t="s">
        <v>88</v>
      </c>
      <c r="Z25" s="69" t="s">
        <v>84</v>
      </c>
      <c r="AA25" s="69"/>
      <c r="AB25" s="93" t="s">
        <v>88</v>
      </c>
      <c r="AC25" s="58"/>
      <c r="AD25" s="93" t="s">
        <v>88</v>
      </c>
      <c r="AE25" s="58"/>
      <c r="AF25" s="93"/>
      <c r="AG25" s="58">
        <v>46071</v>
      </c>
      <c r="AH25" s="69" t="s">
        <v>84</v>
      </c>
      <c r="AI25" s="69" t="s">
        <v>84</v>
      </c>
      <c r="AJ25" s="69" t="s">
        <v>66</v>
      </c>
      <c r="AK25" s="69" t="s">
        <v>66</v>
      </c>
      <c r="AL25" s="69" t="s">
        <v>66</v>
      </c>
      <c r="AM25" s="69" t="s">
        <v>66</v>
      </c>
      <c r="AN25" s="69" t="s">
        <v>66</v>
      </c>
      <c r="AO25" s="69"/>
      <c r="AP25" s="69"/>
      <c r="AQ25" s="69"/>
      <c r="AR25" s="69"/>
      <c r="AS25" s="69"/>
      <c r="AT25" s="69"/>
      <c r="AU25" s="69"/>
      <c r="AV25" s="243">
        <f t="shared" si="0"/>
        <v>0.76923076923076927</v>
      </c>
      <c r="AW25" s="69" t="str">
        <f t="shared" si="1"/>
        <v>In Progress</v>
      </c>
    </row>
    <row r="26" spans="1:49" x14ac:dyDescent="0.35">
      <c r="A26" s="56" t="s">
        <v>580</v>
      </c>
      <c r="B26" s="69" t="s">
        <v>84</v>
      </c>
      <c r="C26" s="69" t="s">
        <v>88</v>
      </c>
      <c r="D26" s="69" t="s">
        <v>84</v>
      </c>
      <c r="E26" s="91" t="s">
        <v>88</v>
      </c>
      <c r="F26" s="69" t="s">
        <v>84</v>
      </c>
      <c r="G26" s="69" t="s">
        <v>84</v>
      </c>
      <c r="H26" s="91" t="s">
        <v>88</v>
      </c>
      <c r="I26" s="69" t="s">
        <v>88</v>
      </c>
      <c r="J26" s="69" t="s">
        <v>84</v>
      </c>
      <c r="K26" s="69" t="s">
        <v>88</v>
      </c>
      <c r="L26" s="69" t="s">
        <v>88</v>
      </c>
      <c r="M26" s="69" t="s">
        <v>88</v>
      </c>
      <c r="N26" s="56"/>
      <c r="O26" s="69" t="s">
        <v>88</v>
      </c>
      <c r="P26" s="69" t="s">
        <v>88</v>
      </c>
      <c r="Q26" s="92" t="s">
        <v>84</v>
      </c>
      <c r="R26" s="92" t="s">
        <v>84</v>
      </c>
      <c r="S26" s="69" t="s">
        <v>84</v>
      </c>
      <c r="T26" s="69"/>
      <c r="U26" s="69" t="s">
        <v>585</v>
      </c>
      <c r="V26" s="69" t="s">
        <v>588</v>
      </c>
      <c r="W26" s="69" t="s">
        <v>88</v>
      </c>
      <c r="X26" s="69" t="s">
        <v>84</v>
      </c>
      <c r="Y26" s="69" t="s">
        <v>84</v>
      </c>
      <c r="Z26" s="69" t="s">
        <v>84</v>
      </c>
      <c r="AA26" s="69"/>
      <c r="AB26" s="93" t="s">
        <v>88</v>
      </c>
      <c r="AC26" s="58"/>
      <c r="AD26" s="93" t="s">
        <v>88</v>
      </c>
      <c r="AE26" s="58"/>
      <c r="AF26" s="93"/>
      <c r="AG26" s="58">
        <v>46073</v>
      </c>
      <c r="AH26" s="69" t="s">
        <v>88</v>
      </c>
      <c r="AI26" s="69" t="s">
        <v>84</v>
      </c>
      <c r="AJ26" s="69" t="s">
        <v>66</v>
      </c>
      <c r="AK26" s="69" t="s">
        <v>66</v>
      </c>
      <c r="AL26" s="69" t="s">
        <v>66</v>
      </c>
      <c r="AM26" s="69" t="s">
        <v>66</v>
      </c>
      <c r="AN26" s="69" t="s">
        <v>66</v>
      </c>
      <c r="AO26" s="69"/>
      <c r="AP26" s="69"/>
      <c r="AQ26" s="69"/>
      <c r="AR26" s="69"/>
      <c r="AS26" s="69"/>
      <c r="AT26" s="69"/>
      <c r="AU26" s="69"/>
      <c r="AV26" s="243">
        <f t="shared" si="0"/>
        <v>0.65</v>
      </c>
      <c r="AW26" s="69" t="str">
        <f t="shared" si="1"/>
        <v>In Progress</v>
      </c>
    </row>
    <row r="27" spans="1:49" x14ac:dyDescent="0.35">
      <c r="A27" s="56" t="s">
        <v>581</v>
      </c>
      <c r="B27" s="69" t="s">
        <v>84</v>
      </c>
      <c r="C27" s="69" t="s">
        <v>84</v>
      </c>
      <c r="D27" s="69" t="s">
        <v>84</v>
      </c>
      <c r="E27" s="91" t="s">
        <v>84</v>
      </c>
      <c r="F27" s="69" t="s">
        <v>84</v>
      </c>
      <c r="G27" s="69" t="s">
        <v>84</v>
      </c>
      <c r="H27" s="91" t="s">
        <v>84</v>
      </c>
      <c r="I27" s="69" t="s">
        <v>88</v>
      </c>
      <c r="J27" s="69" t="s">
        <v>84</v>
      </c>
      <c r="K27" s="69" t="s">
        <v>88</v>
      </c>
      <c r="L27" s="69" t="s">
        <v>88</v>
      </c>
      <c r="M27" s="69" t="s">
        <v>84</v>
      </c>
      <c r="N27" s="56"/>
      <c r="O27" s="69" t="s">
        <v>84</v>
      </c>
      <c r="P27" s="69" t="s">
        <v>88</v>
      </c>
      <c r="Q27" s="92" t="s">
        <v>84</v>
      </c>
      <c r="R27" s="92" t="s">
        <v>84</v>
      </c>
      <c r="S27" s="69" t="s">
        <v>84</v>
      </c>
      <c r="T27" s="69"/>
      <c r="U27" s="69" t="s">
        <v>585</v>
      </c>
      <c r="V27" s="69" t="s">
        <v>585</v>
      </c>
      <c r="W27" s="69" t="s">
        <v>88</v>
      </c>
      <c r="X27" s="69" t="s">
        <v>84</v>
      </c>
      <c r="Y27" s="69" t="s">
        <v>84</v>
      </c>
      <c r="Z27" s="69" t="s">
        <v>84</v>
      </c>
      <c r="AA27" s="69"/>
      <c r="AB27" s="93" t="s">
        <v>88</v>
      </c>
      <c r="AC27" s="58"/>
      <c r="AD27" s="93" t="s">
        <v>88</v>
      </c>
      <c r="AE27" s="58"/>
      <c r="AF27" s="93"/>
      <c r="AG27" s="58">
        <v>46072</v>
      </c>
      <c r="AH27" s="69" t="s">
        <v>84</v>
      </c>
      <c r="AI27" s="69" t="s">
        <v>84</v>
      </c>
      <c r="AJ27" s="69" t="s">
        <v>66</v>
      </c>
      <c r="AK27" s="69" t="s">
        <v>66</v>
      </c>
      <c r="AL27" s="69" t="s">
        <v>66</v>
      </c>
      <c r="AM27" s="69" t="s">
        <v>66</v>
      </c>
      <c r="AN27" s="69" t="s">
        <v>66</v>
      </c>
      <c r="AO27" s="69"/>
      <c r="AP27" s="69"/>
      <c r="AQ27" s="69"/>
      <c r="AR27" s="69"/>
      <c r="AS27" s="69"/>
      <c r="AT27" s="69"/>
      <c r="AU27" s="69"/>
      <c r="AV27" s="243">
        <f t="shared" si="0"/>
        <v>0.76923076923076927</v>
      </c>
      <c r="AW27" s="69" t="str">
        <f t="shared" si="1"/>
        <v>In Progress</v>
      </c>
    </row>
    <row r="28" spans="1:49" x14ac:dyDescent="0.35">
      <c r="A28" s="56" t="s">
        <v>582</v>
      </c>
      <c r="B28" s="69" t="s">
        <v>84</v>
      </c>
      <c r="C28" s="69" t="s">
        <v>84</v>
      </c>
      <c r="D28" s="69" t="s">
        <v>84</v>
      </c>
      <c r="E28" s="91" t="s">
        <v>88</v>
      </c>
      <c r="F28" s="69" t="s">
        <v>84</v>
      </c>
      <c r="G28" s="69" t="s">
        <v>84</v>
      </c>
      <c r="H28" s="91" t="s">
        <v>84</v>
      </c>
      <c r="I28" s="69" t="s">
        <v>88</v>
      </c>
      <c r="J28" s="69" t="s">
        <v>84</v>
      </c>
      <c r="K28" s="69" t="s">
        <v>84</v>
      </c>
      <c r="L28" s="69" t="s">
        <v>88</v>
      </c>
      <c r="M28" s="69" t="s">
        <v>84</v>
      </c>
      <c r="N28" s="56" t="s">
        <v>88</v>
      </c>
      <c r="O28" s="69" t="s">
        <v>66</v>
      </c>
      <c r="P28" s="69" t="s">
        <v>84</v>
      </c>
      <c r="Q28" s="92" t="s">
        <v>84</v>
      </c>
      <c r="R28" s="92" t="s">
        <v>84</v>
      </c>
      <c r="S28" s="69" t="s">
        <v>84</v>
      </c>
      <c r="T28" s="69"/>
      <c r="U28" s="69" t="s">
        <v>84</v>
      </c>
      <c r="V28" s="69" t="s">
        <v>66</v>
      </c>
      <c r="W28" s="69" t="s">
        <v>88</v>
      </c>
      <c r="X28" s="69" t="s">
        <v>84</v>
      </c>
      <c r="Y28" s="69" t="s">
        <v>84</v>
      </c>
      <c r="Z28" s="69"/>
      <c r="AA28" s="69"/>
      <c r="AB28" s="93" t="s">
        <v>84</v>
      </c>
      <c r="AC28" s="58" t="s">
        <v>78</v>
      </c>
      <c r="AD28" s="93" t="s">
        <v>586</v>
      </c>
      <c r="AE28" s="58"/>
      <c r="AF28" s="93"/>
      <c r="AG28" s="58" t="s">
        <v>78</v>
      </c>
      <c r="AH28" s="69" t="s">
        <v>66</v>
      </c>
      <c r="AI28" s="69" t="s">
        <v>66</v>
      </c>
      <c r="AJ28" s="69" t="s">
        <v>66</v>
      </c>
      <c r="AK28" s="69" t="s">
        <v>66</v>
      </c>
      <c r="AL28" s="69" t="s">
        <v>66</v>
      </c>
      <c r="AM28" s="69" t="s">
        <v>66</v>
      </c>
      <c r="AN28" s="69" t="s">
        <v>66</v>
      </c>
      <c r="AO28" s="69"/>
      <c r="AP28" s="69"/>
      <c r="AQ28" s="69"/>
      <c r="AR28" s="69"/>
      <c r="AS28" s="69"/>
      <c r="AT28" s="69"/>
      <c r="AU28" s="69"/>
      <c r="AV28" s="243">
        <f t="shared" si="0"/>
        <v>0.58620689655172409</v>
      </c>
      <c r="AW28" s="69" t="str">
        <f t="shared" si="1"/>
        <v>In Progress</v>
      </c>
    </row>
    <row r="29" spans="1:49" x14ac:dyDescent="0.35">
      <c r="A29" s="56" t="s">
        <v>583</v>
      </c>
      <c r="B29" s="69" t="s">
        <v>84</v>
      </c>
      <c r="C29" s="69" t="s">
        <v>88</v>
      </c>
      <c r="D29" s="69" t="s">
        <v>84</v>
      </c>
      <c r="E29" s="91" t="s">
        <v>88</v>
      </c>
      <c r="F29" s="69" t="s">
        <v>84</v>
      </c>
      <c r="G29" s="69" t="s">
        <v>84</v>
      </c>
      <c r="H29" s="91" t="s">
        <v>84</v>
      </c>
      <c r="I29" s="69" t="s">
        <v>88</v>
      </c>
      <c r="J29" s="69" t="s">
        <v>84</v>
      </c>
      <c r="K29" s="69" t="s">
        <v>84</v>
      </c>
      <c r="L29" s="69" t="s">
        <v>88</v>
      </c>
      <c r="M29" s="69" t="s">
        <v>84</v>
      </c>
      <c r="N29" s="56"/>
      <c r="O29" s="69" t="s">
        <v>88</v>
      </c>
      <c r="P29" s="69" t="s">
        <v>88</v>
      </c>
      <c r="Q29" s="92" t="s">
        <v>84</v>
      </c>
      <c r="R29" s="92" t="s">
        <v>84</v>
      </c>
      <c r="S29" s="69" t="s">
        <v>84</v>
      </c>
      <c r="T29" s="69"/>
      <c r="U29" s="69" t="s">
        <v>84</v>
      </c>
      <c r="V29" s="69" t="s">
        <v>84</v>
      </c>
      <c r="W29" s="69" t="s">
        <v>88</v>
      </c>
      <c r="X29" s="69" t="s">
        <v>84</v>
      </c>
      <c r="Y29" s="69" t="s">
        <v>84</v>
      </c>
      <c r="Z29" s="69" t="s">
        <v>84</v>
      </c>
      <c r="AA29" s="69"/>
      <c r="AB29" s="93" t="s">
        <v>84</v>
      </c>
      <c r="AC29" s="58" t="s">
        <v>88</v>
      </c>
      <c r="AD29" s="93" t="s">
        <v>88</v>
      </c>
      <c r="AE29" s="58"/>
      <c r="AF29" s="93"/>
      <c r="AG29" s="58" t="s">
        <v>84</v>
      </c>
      <c r="AH29" s="69" t="s">
        <v>84</v>
      </c>
      <c r="AI29" s="69" t="s">
        <v>84</v>
      </c>
      <c r="AJ29" s="69" t="s">
        <v>66</v>
      </c>
      <c r="AK29" s="69" t="s">
        <v>66</v>
      </c>
      <c r="AL29" s="69" t="s">
        <v>66</v>
      </c>
      <c r="AM29" s="69" t="s">
        <v>66</v>
      </c>
      <c r="AN29" s="69" t="s">
        <v>66</v>
      </c>
      <c r="AO29" s="69"/>
      <c r="AP29" s="69"/>
      <c r="AQ29" s="69"/>
      <c r="AR29" s="69"/>
      <c r="AS29" s="69"/>
      <c r="AT29" s="69"/>
      <c r="AU29" s="69"/>
      <c r="AV29" s="243">
        <f t="shared" si="0"/>
        <v>0.8</v>
      </c>
      <c r="AW29" s="69" t="str">
        <f t="shared" si="1"/>
        <v>In Progress</v>
      </c>
    </row>
    <row r="30" spans="1:49" x14ac:dyDescent="0.35">
      <c r="A30" s="56" t="s">
        <v>584</v>
      </c>
      <c r="B30" s="69" t="s">
        <v>84</v>
      </c>
      <c r="C30" s="69" t="s">
        <v>88</v>
      </c>
      <c r="D30" s="69" t="s">
        <v>84</v>
      </c>
      <c r="E30" s="91" t="s">
        <v>88</v>
      </c>
      <c r="F30" s="69" t="s">
        <v>84</v>
      </c>
      <c r="G30" s="69" t="s">
        <v>84</v>
      </c>
      <c r="H30" s="91" t="s">
        <v>84</v>
      </c>
      <c r="I30" s="69" t="s">
        <v>88</v>
      </c>
      <c r="J30" s="69" t="s">
        <v>84</v>
      </c>
      <c r="K30" s="69" t="s">
        <v>88</v>
      </c>
      <c r="L30" s="69" t="s">
        <v>84</v>
      </c>
      <c r="M30" s="69" t="s">
        <v>84</v>
      </c>
      <c r="N30" s="56"/>
      <c r="O30" s="69" t="s">
        <v>88</v>
      </c>
      <c r="P30" s="69" t="s">
        <v>84</v>
      </c>
      <c r="Q30" s="92" t="s">
        <v>84</v>
      </c>
      <c r="R30" s="92" t="s">
        <v>88</v>
      </c>
      <c r="S30" s="69" t="s">
        <v>84</v>
      </c>
      <c r="T30" s="69"/>
      <c r="U30" s="69" t="s">
        <v>84</v>
      </c>
      <c r="V30" s="69" t="s">
        <v>84</v>
      </c>
      <c r="W30" s="69" t="s">
        <v>84</v>
      </c>
      <c r="X30" s="69" t="s">
        <v>84</v>
      </c>
      <c r="Y30" s="69" t="s">
        <v>88</v>
      </c>
      <c r="Z30" s="69"/>
      <c r="AA30" s="69"/>
      <c r="AB30" s="93" t="s">
        <v>88</v>
      </c>
      <c r="AC30" s="58" t="s">
        <v>84</v>
      </c>
      <c r="AD30" s="93" t="s">
        <v>393</v>
      </c>
      <c r="AE30" s="58"/>
      <c r="AF30" s="93"/>
      <c r="AG30" s="58"/>
      <c r="AH30" s="69" t="s">
        <v>84</v>
      </c>
      <c r="AI30" s="69" t="s">
        <v>66</v>
      </c>
      <c r="AJ30" s="69" t="s">
        <v>66</v>
      </c>
      <c r="AK30" s="69" t="s">
        <v>66</v>
      </c>
      <c r="AL30" s="69" t="s">
        <v>66</v>
      </c>
      <c r="AM30" s="69" t="s">
        <v>66</v>
      </c>
      <c r="AN30" s="69" t="s">
        <v>66</v>
      </c>
      <c r="AO30" s="69"/>
      <c r="AP30" s="69"/>
      <c r="AQ30" s="69"/>
      <c r="AR30" s="69"/>
      <c r="AS30" s="69"/>
      <c r="AT30" s="69"/>
      <c r="AU30" s="69"/>
      <c r="AV30" s="244">
        <f t="shared" si="0"/>
        <v>0.70833333333333337</v>
      </c>
      <c r="AW30" s="241" t="str">
        <f t="shared" si="1"/>
        <v>In Progress</v>
      </c>
    </row>
  </sheetData>
  <mergeCells count="6">
    <mergeCell ref="A1:Z1"/>
    <mergeCell ref="C2:O2"/>
    <mergeCell ref="AJ2:AN2"/>
    <mergeCell ref="AO2:AU2"/>
    <mergeCell ref="AC2:AI2"/>
    <mergeCell ref="R2:AB2"/>
  </mergeCells>
  <conditionalFormatting sqref="AW7:AW30">
    <cfRule type="containsText" dxfId="11" priority="1" operator="containsText" text="Complete">
      <formula>NOT(ISERROR(SEARCH("Complete",AW7)))</formula>
    </cfRule>
  </conditionalFormatting>
  <conditionalFormatting sqref="AW7:AW30">
    <cfRule type="containsText" dxfId="10" priority="2" operator="containsText" text="In Progress">
      <formula>NOT(ISERROR(SEARCH("In Progress",AW7)))</formula>
    </cfRule>
  </conditionalFormatting>
  <conditionalFormatting sqref="AW7:AW30">
    <cfRule type="containsText" dxfId="9" priority="3" operator="containsText" text="Not Started">
      <formula>NOT(ISERROR(SEARCH("Not Started",AW7)))</formula>
    </cfRule>
  </conditionalFormatting>
  <conditionalFormatting sqref="AV7:AV30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{35BCDB80-2F0D-43DB-8019-C82939FE8BD2}</x14:id>
        </ext>
      </extLst>
    </cfRule>
  </conditionalFormatting>
  <dataValidations count="3">
    <dataValidation type="list" allowBlank="1" showInputMessage="1" showErrorMessage="1" sqref="N7:N12" xr:uid="{7CC22850-1ED7-4D6E-B03F-1BA81871FE09}">
      <formula1>INDIRECT("Agent[AgentName]")</formula1>
    </dataValidation>
    <dataValidation type="list" allowBlank="1" showInputMessage="1" showErrorMessage="1" sqref="B7:M30 O7:AB30 AH7:AU30 AF7:AF30" xr:uid="{C29D6C74-4EB1-4F51-BD7E-42117ABFC5DF}">
      <formula1>INDIRECT("Status[Status]")</formula1>
    </dataValidation>
    <dataValidation type="list" allowBlank="1" showInputMessage="1" showErrorMessage="1" sqref="AD7:AD30" xr:uid="{E399A584-FB9E-4EE6-BF68-A0C893D1B462}">
      <formula1>"Wired, Mobile, N/A, Not Received, Check"</formula1>
    </dataValidation>
  </dataValidations>
  <pageMargins left="0.75" right="0.75" top="1" bottom="1" header="0.5" footer="0.5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5BCDB80-2F0D-43DB-8019-C82939FE8BD2}">
            <x14:dataBar minLength="0" maxLength="100" border="1" direction="leftToRight" negativeBarColorSameAsPositive="1" axisPosition="none">
              <x14:cfvo type="min"/>
              <x14:cfvo type="max"/>
              <x14:borderColor rgb="FF638EC6"/>
            </x14:dataBar>
          </x14:cfRule>
          <xm:sqref>AV7:AV30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56872-6618-42FF-A158-6A016C971115}">
  <sheetPr codeName="Sheet4">
    <tabColor rgb="FF843C0C"/>
  </sheetPr>
  <dimension ref="A1:I48"/>
  <sheetViews>
    <sheetView zoomScale="70" zoomScaleNormal="70" workbookViewId="0">
      <selection activeCell="O13" sqref="O13"/>
    </sheetView>
    <sheetView workbookViewId="1">
      <selection sqref="A1:E1"/>
    </sheetView>
  </sheetViews>
  <sheetFormatPr defaultRowHeight="14.5" x14ac:dyDescent="0.35"/>
  <cols>
    <col min="1" max="1" width="21.54296875" bestFit="1" customWidth="1"/>
    <col min="2" max="2" width="28" customWidth="1"/>
    <col min="3" max="3" width="24" customWidth="1"/>
    <col min="4" max="4" width="22" customWidth="1"/>
    <col min="5" max="5" width="50" customWidth="1"/>
    <col min="7" max="7" width="43.1796875" bestFit="1" customWidth="1"/>
  </cols>
  <sheetData>
    <row r="1" spans="1:9" ht="30" customHeight="1" x14ac:dyDescent="0.35">
      <c r="A1" s="27" t="s">
        <v>414</v>
      </c>
      <c r="B1" s="26"/>
      <c r="C1" s="26"/>
      <c r="D1" s="26"/>
      <c r="E1" s="26"/>
    </row>
    <row r="2" spans="1:9" x14ac:dyDescent="0.35">
      <c r="A2" t="s">
        <v>270</v>
      </c>
      <c r="B2" t="s">
        <v>331</v>
      </c>
      <c r="C2" t="s">
        <v>271</v>
      </c>
      <c r="D2" t="s">
        <v>272</v>
      </c>
      <c r="E2" t="s">
        <v>280</v>
      </c>
      <c r="F2" t="s">
        <v>281</v>
      </c>
      <c r="G2" s="12" t="s">
        <v>260</v>
      </c>
      <c r="H2" s="12" t="s">
        <v>348</v>
      </c>
      <c r="I2" s="12" t="s">
        <v>273</v>
      </c>
    </row>
    <row r="3" spans="1:9" ht="16" customHeight="1" x14ac:dyDescent="0.35">
      <c r="A3" t="s">
        <v>0</v>
      </c>
      <c r="B3" t="s">
        <v>279</v>
      </c>
      <c r="C3" t="s">
        <v>282</v>
      </c>
      <c r="D3" t="s">
        <v>415</v>
      </c>
      <c r="E3" t="s">
        <v>283</v>
      </c>
      <c r="F3" t="s">
        <v>284</v>
      </c>
      <c r="G3" t="s">
        <v>279</v>
      </c>
      <c r="H3" t="s">
        <v>279</v>
      </c>
      <c r="I3" t="s">
        <v>279</v>
      </c>
    </row>
    <row r="4" spans="1:9" ht="16" customHeight="1" x14ac:dyDescent="0.35">
      <c r="A4" t="s">
        <v>190</v>
      </c>
      <c r="B4" t="s">
        <v>221</v>
      </c>
      <c r="C4" t="s">
        <v>274</v>
      </c>
      <c r="D4" t="s">
        <v>285</v>
      </c>
      <c r="E4" t="s">
        <v>286</v>
      </c>
      <c r="F4" t="s">
        <v>71</v>
      </c>
      <c r="G4" t="s">
        <v>189</v>
      </c>
      <c r="H4" t="s">
        <v>274</v>
      </c>
    </row>
    <row r="5" spans="1:9" ht="16" customHeight="1" x14ac:dyDescent="0.35">
      <c r="A5" t="s">
        <v>192</v>
      </c>
      <c r="B5" t="s">
        <v>223</v>
      </c>
      <c r="C5" t="s">
        <v>274</v>
      </c>
      <c r="D5" t="s">
        <v>287</v>
      </c>
      <c r="E5" t="s">
        <v>288</v>
      </c>
      <c r="F5" t="s">
        <v>71</v>
      </c>
      <c r="G5" t="s">
        <v>189</v>
      </c>
      <c r="H5" t="s">
        <v>274</v>
      </c>
    </row>
    <row r="6" spans="1:9" ht="16" customHeight="1" x14ac:dyDescent="0.35">
      <c r="A6" t="s">
        <v>195</v>
      </c>
      <c r="B6" t="s">
        <v>226</v>
      </c>
      <c r="C6" t="s">
        <v>274</v>
      </c>
      <c r="D6" t="s">
        <v>287</v>
      </c>
      <c r="E6" t="s">
        <v>289</v>
      </c>
      <c r="F6" t="s">
        <v>77</v>
      </c>
      <c r="G6" t="s">
        <v>189</v>
      </c>
      <c r="H6" t="s">
        <v>274</v>
      </c>
    </row>
    <row r="7" spans="1:9" ht="16" customHeight="1" x14ac:dyDescent="0.35">
      <c r="A7" t="s">
        <v>193</v>
      </c>
      <c r="B7" t="s">
        <v>224</v>
      </c>
      <c r="C7" t="s">
        <v>274</v>
      </c>
      <c r="D7" t="s">
        <v>278</v>
      </c>
      <c r="E7" t="s">
        <v>290</v>
      </c>
      <c r="F7" t="s">
        <v>71</v>
      </c>
      <c r="G7" t="s">
        <v>189</v>
      </c>
      <c r="H7" t="s">
        <v>274</v>
      </c>
    </row>
    <row r="8" spans="1:9" ht="16" customHeight="1" x14ac:dyDescent="0.35">
      <c r="A8" t="s">
        <v>194</v>
      </c>
      <c r="B8" t="s">
        <v>225</v>
      </c>
      <c r="C8" t="s">
        <v>274</v>
      </c>
      <c r="D8" t="s">
        <v>278</v>
      </c>
      <c r="E8" t="s">
        <v>291</v>
      </c>
      <c r="F8" t="s">
        <v>77</v>
      </c>
      <c r="G8" t="s">
        <v>189</v>
      </c>
      <c r="H8" t="s">
        <v>274</v>
      </c>
    </row>
    <row r="9" spans="1:9" ht="16" customHeight="1" x14ac:dyDescent="0.35">
      <c r="A9" t="s">
        <v>201</v>
      </c>
      <c r="B9" t="s">
        <v>228</v>
      </c>
      <c r="C9" t="s">
        <v>274</v>
      </c>
      <c r="D9" t="s">
        <v>275</v>
      </c>
      <c r="E9" t="s">
        <v>292</v>
      </c>
      <c r="F9" t="s">
        <v>71</v>
      </c>
      <c r="G9" t="s">
        <v>189</v>
      </c>
      <c r="H9" t="s">
        <v>274</v>
      </c>
      <c r="I9" t="s">
        <v>332</v>
      </c>
    </row>
    <row r="10" spans="1:9" ht="16" customHeight="1" x14ac:dyDescent="0.35">
      <c r="A10" t="s">
        <v>202</v>
      </c>
      <c r="B10" t="s">
        <v>229</v>
      </c>
      <c r="C10" t="s">
        <v>293</v>
      </c>
      <c r="D10" t="s">
        <v>285</v>
      </c>
      <c r="E10" t="s">
        <v>294</v>
      </c>
      <c r="F10" t="s">
        <v>295</v>
      </c>
      <c r="G10" t="s">
        <v>189</v>
      </c>
      <c r="H10" t="s">
        <v>293</v>
      </c>
      <c r="I10" t="s">
        <v>346</v>
      </c>
    </row>
    <row r="11" spans="1:9" ht="16" customHeight="1" x14ac:dyDescent="0.35">
      <c r="A11" t="s">
        <v>203</v>
      </c>
      <c r="B11" t="s">
        <v>230</v>
      </c>
      <c r="C11" t="s">
        <v>274</v>
      </c>
      <c r="D11" t="s">
        <v>275</v>
      </c>
      <c r="E11" t="s">
        <v>292</v>
      </c>
      <c r="F11" t="s">
        <v>71</v>
      </c>
      <c r="G11" t="s">
        <v>189</v>
      </c>
      <c r="H11" t="s">
        <v>274</v>
      </c>
      <c r="I11" t="s">
        <v>332</v>
      </c>
    </row>
    <row r="12" spans="1:9" ht="16" customHeight="1" x14ac:dyDescent="0.35">
      <c r="A12" t="s">
        <v>204</v>
      </c>
      <c r="B12" t="s">
        <v>231</v>
      </c>
      <c r="C12" t="s">
        <v>293</v>
      </c>
      <c r="D12" t="s">
        <v>285</v>
      </c>
      <c r="E12" t="s">
        <v>296</v>
      </c>
      <c r="F12" t="s">
        <v>295</v>
      </c>
      <c r="G12" t="s">
        <v>189</v>
      </c>
      <c r="H12" t="s">
        <v>293</v>
      </c>
      <c r="I12" t="s">
        <v>347</v>
      </c>
    </row>
    <row r="13" spans="1:9" ht="16" customHeight="1" x14ac:dyDescent="0.35">
      <c r="A13" t="s">
        <v>205</v>
      </c>
      <c r="B13" t="s">
        <v>232</v>
      </c>
      <c r="C13" t="s">
        <v>297</v>
      </c>
      <c r="D13" t="s">
        <v>298</v>
      </c>
      <c r="E13" t="s">
        <v>299</v>
      </c>
      <c r="F13" t="s">
        <v>295</v>
      </c>
      <c r="G13" t="s">
        <v>189</v>
      </c>
      <c r="H13" t="s">
        <v>297</v>
      </c>
      <c r="I13" t="s">
        <v>339</v>
      </c>
    </row>
    <row r="14" spans="1:9" ht="16" customHeight="1" x14ac:dyDescent="0.35">
      <c r="A14" t="s">
        <v>206</v>
      </c>
      <c r="B14" t="s">
        <v>233</v>
      </c>
      <c r="C14" t="s">
        <v>297</v>
      </c>
      <c r="D14" t="s">
        <v>298</v>
      </c>
      <c r="E14" t="s">
        <v>300</v>
      </c>
      <c r="F14" t="s">
        <v>295</v>
      </c>
      <c r="G14" t="s">
        <v>189</v>
      </c>
      <c r="H14" t="s">
        <v>297</v>
      </c>
      <c r="I14" t="s">
        <v>340</v>
      </c>
    </row>
    <row r="15" spans="1:9" ht="16" customHeight="1" x14ac:dyDescent="0.35">
      <c r="A15" t="s">
        <v>2</v>
      </c>
      <c r="B15" t="s">
        <v>334</v>
      </c>
      <c r="C15" t="s">
        <v>274</v>
      </c>
      <c r="D15" t="s">
        <v>275</v>
      </c>
      <c r="E15" t="s">
        <v>301</v>
      </c>
      <c r="F15" t="s">
        <v>71</v>
      </c>
      <c r="G15" t="s">
        <v>189</v>
      </c>
      <c r="H15" t="s">
        <v>274</v>
      </c>
      <c r="I15" t="s">
        <v>335</v>
      </c>
    </row>
    <row r="16" spans="1:9" ht="16" customHeight="1" x14ac:dyDescent="0.35">
      <c r="A16" t="s">
        <v>208</v>
      </c>
      <c r="B16" t="s">
        <v>235</v>
      </c>
      <c r="C16" t="s">
        <v>274</v>
      </c>
      <c r="D16" s="11">
        <v>-2.9999999999999997E-4</v>
      </c>
      <c r="E16" t="s">
        <v>302</v>
      </c>
      <c r="F16" t="s">
        <v>303</v>
      </c>
      <c r="G16" t="s">
        <v>151</v>
      </c>
      <c r="H16" t="s">
        <v>274</v>
      </c>
    </row>
    <row r="17" spans="1:9" ht="16" customHeight="1" x14ac:dyDescent="0.35">
      <c r="A17" t="s">
        <v>207</v>
      </c>
      <c r="B17" t="s">
        <v>234</v>
      </c>
      <c r="C17" t="s">
        <v>274</v>
      </c>
      <c r="D17" t="s">
        <v>287</v>
      </c>
      <c r="E17" t="s">
        <v>304</v>
      </c>
      <c r="F17" t="s">
        <v>303</v>
      </c>
      <c r="G17" t="s">
        <v>151</v>
      </c>
      <c r="H17" t="s">
        <v>274</v>
      </c>
    </row>
    <row r="18" spans="1:9" ht="16" customHeight="1" x14ac:dyDescent="0.35">
      <c r="A18" t="s">
        <v>209</v>
      </c>
      <c r="B18" t="s">
        <v>236</v>
      </c>
      <c r="C18" t="s">
        <v>274</v>
      </c>
      <c r="D18" s="11">
        <v>-1.4999999999999999E-4</v>
      </c>
      <c r="E18" t="s">
        <v>305</v>
      </c>
      <c r="F18" t="s">
        <v>77</v>
      </c>
      <c r="G18" t="s">
        <v>151</v>
      </c>
      <c r="H18" t="s">
        <v>274</v>
      </c>
    </row>
    <row r="19" spans="1:9" ht="16" customHeight="1" x14ac:dyDescent="0.35">
      <c r="A19" t="s">
        <v>210</v>
      </c>
      <c r="B19" t="s">
        <v>237</v>
      </c>
      <c r="C19" t="s">
        <v>297</v>
      </c>
      <c r="D19" t="s">
        <v>306</v>
      </c>
      <c r="E19" t="s">
        <v>307</v>
      </c>
      <c r="F19" t="s">
        <v>295</v>
      </c>
      <c r="G19" t="s">
        <v>151</v>
      </c>
      <c r="H19" t="s">
        <v>297</v>
      </c>
      <c r="I19" t="s">
        <v>349</v>
      </c>
    </row>
    <row r="20" spans="1:9" ht="16" customHeight="1" x14ac:dyDescent="0.35">
      <c r="A20" t="s">
        <v>211</v>
      </c>
      <c r="B20" t="s">
        <v>238</v>
      </c>
      <c r="C20" t="s">
        <v>297</v>
      </c>
      <c r="D20" t="s">
        <v>287</v>
      </c>
      <c r="E20" t="s">
        <v>308</v>
      </c>
      <c r="F20" t="s">
        <v>295</v>
      </c>
      <c r="G20" t="s">
        <v>189</v>
      </c>
      <c r="H20" t="s">
        <v>297</v>
      </c>
      <c r="I20" t="s">
        <v>350</v>
      </c>
    </row>
    <row r="21" spans="1:9" ht="16" customHeight="1" x14ac:dyDescent="0.35">
      <c r="A21" t="s">
        <v>212</v>
      </c>
      <c r="B21" t="s">
        <v>239</v>
      </c>
      <c r="C21" t="s">
        <v>274</v>
      </c>
      <c r="D21" t="s">
        <v>287</v>
      </c>
      <c r="E21" t="s">
        <v>309</v>
      </c>
      <c r="F21" t="s">
        <v>77</v>
      </c>
      <c r="G21" t="s">
        <v>189</v>
      </c>
      <c r="H21" t="s">
        <v>274</v>
      </c>
    </row>
    <row r="22" spans="1:9" ht="16" customHeight="1" x14ac:dyDescent="0.35">
      <c r="A22" t="s">
        <v>213</v>
      </c>
      <c r="B22" t="s">
        <v>240</v>
      </c>
      <c r="C22" t="s">
        <v>274</v>
      </c>
      <c r="D22" t="s">
        <v>287</v>
      </c>
      <c r="E22" t="s">
        <v>310</v>
      </c>
      <c r="F22" t="s">
        <v>77</v>
      </c>
      <c r="G22" t="s">
        <v>189</v>
      </c>
      <c r="H22" t="s">
        <v>274</v>
      </c>
    </row>
    <row r="23" spans="1:9" ht="16" customHeight="1" x14ac:dyDescent="0.35">
      <c r="A23" t="s">
        <v>214</v>
      </c>
      <c r="B23" t="s">
        <v>257</v>
      </c>
      <c r="C23" t="s">
        <v>274</v>
      </c>
      <c r="D23" t="s">
        <v>275</v>
      </c>
      <c r="E23" t="s">
        <v>311</v>
      </c>
      <c r="F23" t="s">
        <v>77</v>
      </c>
      <c r="G23" t="s">
        <v>151</v>
      </c>
      <c r="H23" t="s">
        <v>274</v>
      </c>
      <c r="I23" t="s">
        <v>333</v>
      </c>
    </row>
    <row r="24" spans="1:9" ht="16" customHeight="1" x14ac:dyDescent="0.35">
      <c r="A24" t="s">
        <v>215</v>
      </c>
      <c r="B24" t="s">
        <v>241</v>
      </c>
      <c r="C24" t="s">
        <v>312</v>
      </c>
      <c r="D24" t="s">
        <v>287</v>
      </c>
      <c r="E24" t="s">
        <v>313</v>
      </c>
      <c r="F24" t="s">
        <v>303</v>
      </c>
      <c r="G24" t="s">
        <v>151</v>
      </c>
      <c r="H24" t="s">
        <v>343</v>
      </c>
      <c r="I24" t="s">
        <v>344</v>
      </c>
    </row>
    <row r="25" spans="1:9" ht="16" customHeight="1" x14ac:dyDescent="0.35">
      <c r="A25" t="s">
        <v>216</v>
      </c>
      <c r="B25" t="s">
        <v>242</v>
      </c>
      <c r="C25" t="s">
        <v>297</v>
      </c>
      <c r="D25" t="s">
        <v>287</v>
      </c>
      <c r="E25" t="s">
        <v>314</v>
      </c>
      <c r="F25" t="s">
        <v>295</v>
      </c>
      <c r="G25" t="s">
        <v>151</v>
      </c>
      <c r="H25" t="s">
        <v>297</v>
      </c>
      <c r="I25" t="s">
        <v>341</v>
      </c>
    </row>
    <row r="26" spans="1:9" ht="16" customHeight="1" x14ac:dyDescent="0.35">
      <c r="A26" t="s">
        <v>217</v>
      </c>
      <c r="B26" t="s">
        <v>243</v>
      </c>
      <c r="C26" t="s">
        <v>297</v>
      </c>
      <c r="D26" t="s">
        <v>315</v>
      </c>
      <c r="E26" t="s">
        <v>316</v>
      </c>
      <c r="F26" t="s">
        <v>295</v>
      </c>
      <c r="G26" t="s">
        <v>151</v>
      </c>
      <c r="H26" t="s">
        <v>297</v>
      </c>
      <c r="I26" t="s">
        <v>342</v>
      </c>
    </row>
    <row r="27" spans="1:9" ht="16" customHeight="1" x14ac:dyDescent="0.35">
      <c r="A27" t="s">
        <v>218</v>
      </c>
      <c r="B27" t="s">
        <v>244</v>
      </c>
      <c r="C27" t="s">
        <v>274</v>
      </c>
      <c r="D27" t="s">
        <v>287</v>
      </c>
      <c r="E27" t="s">
        <v>317</v>
      </c>
      <c r="F27" t="s">
        <v>77</v>
      </c>
      <c r="G27" t="s">
        <v>151</v>
      </c>
      <c r="H27" t="s">
        <v>274</v>
      </c>
    </row>
    <row r="28" spans="1:9" ht="16" customHeight="1" x14ac:dyDescent="0.35">
      <c r="A28" t="s">
        <v>3</v>
      </c>
      <c r="B28" t="s">
        <v>245</v>
      </c>
      <c r="C28" t="s">
        <v>274</v>
      </c>
      <c r="D28" t="s">
        <v>275</v>
      </c>
      <c r="E28" t="s">
        <v>318</v>
      </c>
      <c r="F28" t="s">
        <v>77</v>
      </c>
      <c r="G28" t="s">
        <v>151</v>
      </c>
      <c r="H28" t="s">
        <v>274</v>
      </c>
      <c r="I28" t="s">
        <v>336</v>
      </c>
    </row>
    <row r="29" spans="1:9" ht="16" customHeight="1" x14ac:dyDescent="0.35">
      <c r="A29" t="s">
        <v>219</v>
      </c>
      <c r="B29" t="s">
        <v>246</v>
      </c>
      <c r="C29" t="s">
        <v>274</v>
      </c>
      <c r="D29" t="s">
        <v>275</v>
      </c>
      <c r="E29" t="s">
        <v>311</v>
      </c>
      <c r="F29" t="s">
        <v>71</v>
      </c>
      <c r="G29" t="s">
        <v>151</v>
      </c>
      <c r="H29" t="s">
        <v>274</v>
      </c>
      <c r="I29" t="s">
        <v>333</v>
      </c>
    </row>
    <row r="30" spans="1:9" ht="16" customHeight="1" x14ac:dyDescent="0.35">
      <c r="A30" t="s">
        <v>220</v>
      </c>
      <c r="B30" t="s">
        <v>247</v>
      </c>
      <c r="C30" t="s">
        <v>274</v>
      </c>
      <c r="D30" t="s">
        <v>275</v>
      </c>
      <c r="E30" t="s">
        <v>311</v>
      </c>
      <c r="F30" t="s">
        <v>77</v>
      </c>
      <c r="G30" t="s">
        <v>151</v>
      </c>
      <c r="H30" t="s">
        <v>274</v>
      </c>
      <c r="I30" t="s">
        <v>333</v>
      </c>
    </row>
    <row r="31" spans="1:9" ht="16" customHeight="1" x14ac:dyDescent="0.35">
      <c r="A31" t="s">
        <v>4</v>
      </c>
      <c r="B31" t="s">
        <v>337</v>
      </c>
      <c r="C31" t="s">
        <v>274</v>
      </c>
      <c r="D31" t="s">
        <v>275</v>
      </c>
      <c r="E31" t="s">
        <v>319</v>
      </c>
      <c r="F31" t="s">
        <v>303</v>
      </c>
      <c r="G31" t="s">
        <v>151</v>
      </c>
      <c r="H31" t="s">
        <v>274</v>
      </c>
      <c r="I31" t="s">
        <v>338</v>
      </c>
    </row>
    <row r="32" spans="1:9" ht="16" customHeight="1" x14ac:dyDescent="0.35">
      <c r="A32" t="s">
        <v>198</v>
      </c>
      <c r="B32" t="s">
        <v>75</v>
      </c>
      <c r="C32" t="s">
        <v>274</v>
      </c>
      <c r="D32" t="s">
        <v>285</v>
      </c>
      <c r="E32" t="s">
        <v>320</v>
      </c>
      <c r="F32" t="s">
        <v>77</v>
      </c>
      <c r="G32" t="s">
        <v>189</v>
      </c>
      <c r="H32" t="s">
        <v>274</v>
      </c>
    </row>
    <row r="33" spans="1:9" ht="16" customHeight="1" x14ac:dyDescent="0.35">
      <c r="A33" t="s">
        <v>199</v>
      </c>
      <c r="B33" t="s">
        <v>227</v>
      </c>
      <c r="C33" t="s">
        <v>274</v>
      </c>
      <c r="D33" t="s">
        <v>285</v>
      </c>
      <c r="E33" t="s">
        <v>321</v>
      </c>
      <c r="F33" t="s">
        <v>77</v>
      </c>
      <c r="G33" t="s">
        <v>189</v>
      </c>
      <c r="H33" t="s">
        <v>274</v>
      </c>
    </row>
    <row r="34" spans="1:9" ht="16" customHeight="1" x14ac:dyDescent="0.35">
      <c r="A34" t="s">
        <v>191</v>
      </c>
      <c r="B34" t="s">
        <v>222</v>
      </c>
      <c r="C34" t="s">
        <v>274</v>
      </c>
      <c r="D34" t="s">
        <v>285</v>
      </c>
      <c r="E34" t="s">
        <v>322</v>
      </c>
      <c r="F34" t="s">
        <v>303</v>
      </c>
      <c r="G34" t="s">
        <v>189</v>
      </c>
      <c r="H34" t="s">
        <v>274</v>
      </c>
    </row>
    <row r="35" spans="1:9" ht="16" customHeight="1" x14ac:dyDescent="0.35">
      <c r="A35" t="s">
        <v>196</v>
      </c>
      <c r="B35" t="s">
        <v>196</v>
      </c>
      <c r="C35" t="s">
        <v>274</v>
      </c>
      <c r="D35" t="s">
        <v>285</v>
      </c>
      <c r="E35" t="s">
        <v>323</v>
      </c>
      <c r="F35" t="s">
        <v>77</v>
      </c>
      <c r="G35" t="s">
        <v>189</v>
      </c>
      <c r="H35" t="s">
        <v>274</v>
      </c>
    </row>
    <row r="36" spans="1:9" ht="16" customHeight="1" x14ac:dyDescent="0.35">
      <c r="A36" t="s">
        <v>200</v>
      </c>
      <c r="B36" t="s">
        <v>200</v>
      </c>
      <c r="C36" t="s">
        <v>324</v>
      </c>
      <c r="D36" t="s">
        <v>285</v>
      </c>
      <c r="E36" t="s">
        <v>325</v>
      </c>
      <c r="F36" t="s">
        <v>295</v>
      </c>
      <c r="G36" t="s">
        <v>189</v>
      </c>
      <c r="H36" t="s">
        <v>343</v>
      </c>
      <c r="I36" t="s">
        <v>345</v>
      </c>
    </row>
    <row r="37" spans="1:9" ht="16" customHeight="1" x14ac:dyDescent="0.35">
      <c r="A37" t="s">
        <v>197</v>
      </c>
      <c r="B37" t="s">
        <v>197</v>
      </c>
      <c r="C37" t="s">
        <v>274</v>
      </c>
      <c r="D37" t="s">
        <v>285</v>
      </c>
      <c r="E37" t="s">
        <v>326</v>
      </c>
      <c r="F37" t="s">
        <v>77</v>
      </c>
      <c r="G37" t="s">
        <v>189</v>
      </c>
      <c r="H37" t="s">
        <v>274</v>
      </c>
    </row>
    <row r="38" spans="1:9" ht="16" customHeight="1" x14ac:dyDescent="0.35">
      <c r="A38" t="s">
        <v>327</v>
      </c>
      <c r="B38" t="s">
        <v>279</v>
      </c>
      <c r="C38" t="s">
        <v>274</v>
      </c>
      <c r="D38" t="s">
        <v>275</v>
      </c>
      <c r="E38" t="s">
        <v>328</v>
      </c>
      <c r="F38" t="s">
        <v>71</v>
      </c>
      <c r="G38" t="s">
        <v>279</v>
      </c>
      <c r="H38" t="s">
        <v>279</v>
      </c>
      <c r="I38" t="s">
        <v>279</v>
      </c>
    </row>
    <row r="39" spans="1:9" ht="16" customHeight="1" x14ac:dyDescent="0.35">
      <c r="A39" t="s">
        <v>329</v>
      </c>
      <c r="B39" t="s">
        <v>279</v>
      </c>
      <c r="C39" t="s">
        <v>295</v>
      </c>
      <c r="D39" t="s">
        <v>278</v>
      </c>
      <c r="E39" t="s">
        <v>330</v>
      </c>
      <c r="F39" t="s">
        <v>295</v>
      </c>
      <c r="G39" t="s">
        <v>279</v>
      </c>
      <c r="H39" t="s">
        <v>279</v>
      </c>
      <c r="I39" t="s">
        <v>279</v>
      </c>
    </row>
    <row r="40" spans="1:9" ht="16" customHeight="1" x14ac:dyDescent="0.35"/>
    <row r="41" spans="1:9" ht="16" customHeight="1" x14ac:dyDescent="0.35"/>
    <row r="42" spans="1:9" ht="16" customHeight="1" x14ac:dyDescent="0.35"/>
    <row r="43" spans="1:9" ht="16" customHeight="1" x14ac:dyDescent="0.35"/>
    <row r="44" spans="1:9" ht="16" customHeight="1" x14ac:dyDescent="0.35"/>
    <row r="45" spans="1:9" ht="16" customHeight="1" x14ac:dyDescent="0.35"/>
    <row r="46" spans="1:9" ht="16" customHeight="1" x14ac:dyDescent="0.35"/>
    <row r="47" spans="1:9" ht="16" customHeight="1" x14ac:dyDescent="0.35"/>
    <row r="48" spans="1:9" ht="16" customHeight="1" x14ac:dyDescent="0.35"/>
  </sheetData>
  <mergeCells count="1">
    <mergeCell ref="A1:E1"/>
  </mergeCell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375623"/>
  </sheetPr>
  <dimension ref="A1:U86"/>
  <sheetViews>
    <sheetView workbookViewId="0">
      <selection activeCell="O13" sqref="O13"/>
    </sheetView>
    <sheetView workbookViewId="1">
      <selection sqref="A1:O1"/>
    </sheetView>
  </sheetViews>
  <sheetFormatPr defaultRowHeight="14.5" x14ac:dyDescent="0.35"/>
  <cols>
    <col min="1" max="1" width="14.54296875" customWidth="1"/>
    <col min="2" max="2" width="21.08984375" bestFit="1" customWidth="1"/>
    <col min="3" max="3" width="9.26953125" customWidth="1"/>
    <col min="4" max="4" width="20.54296875" bestFit="1" customWidth="1"/>
    <col min="5" max="5" width="21.08984375" bestFit="1" customWidth="1"/>
    <col min="6" max="6" width="7" customWidth="1"/>
    <col min="7" max="7" width="7.08984375" bestFit="1" customWidth="1"/>
    <col min="8" max="8" width="21.08984375" bestFit="1" customWidth="1"/>
    <col min="9" max="9" width="49.453125" bestFit="1" customWidth="1"/>
    <col min="10" max="10" width="20.54296875" bestFit="1" customWidth="1"/>
    <col min="11" max="11" width="7.36328125" bestFit="1" customWidth="1"/>
    <col min="12" max="12" width="9.81640625" bestFit="1" customWidth="1"/>
    <col min="13" max="13" width="12.81640625" bestFit="1" customWidth="1"/>
    <col min="14" max="14" width="30" bestFit="1" customWidth="1"/>
    <col min="15" max="15" width="8" customWidth="1"/>
    <col min="17" max="17" width="16" customWidth="1"/>
    <col min="19" max="19" width="8.90625" customWidth="1"/>
    <col min="20" max="20" width="19" customWidth="1"/>
    <col min="21" max="21" width="11.6328125" customWidth="1"/>
    <col min="22" max="22" width="32.36328125" customWidth="1"/>
    <col min="23" max="23" width="6.08984375" bestFit="1" customWidth="1"/>
    <col min="24" max="24" width="22.36328125" bestFit="1" customWidth="1"/>
    <col min="25" max="25" width="17.453125" bestFit="1" customWidth="1"/>
  </cols>
  <sheetData>
    <row r="1" spans="1:15" ht="30" customHeight="1" x14ac:dyDescent="0.35">
      <c r="A1" s="27" t="s">
        <v>59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</row>
    <row r="2" spans="1:15" ht="23" customHeight="1" x14ac:dyDescent="0.35">
      <c r="A2" s="29" t="s">
        <v>60</v>
      </c>
      <c r="B2" s="29"/>
      <c r="D2" s="29" t="s">
        <v>61</v>
      </c>
      <c r="E2" s="26"/>
      <c r="G2" s="30" t="s">
        <v>269</v>
      </c>
      <c r="H2" s="29"/>
      <c r="I2" s="29"/>
      <c r="J2" s="29"/>
      <c r="K2" s="29"/>
      <c r="L2" s="29"/>
      <c r="M2" s="29"/>
      <c r="N2" s="29"/>
    </row>
    <row r="3" spans="1:15" x14ac:dyDescent="0.35">
      <c r="A3" s="9" t="s">
        <v>5</v>
      </c>
      <c r="B3" s="6" t="s">
        <v>252</v>
      </c>
      <c r="D3" s="6" t="s">
        <v>402</v>
      </c>
      <c r="E3" s="6" t="s">
        <v>65</v>
      </c>
      <c r="G3" t="s">
        <v>258</v>
      </c>
      <c r="H3" t="s">
        <v>94</v>
      </c>
      <c r="I3" t="s">
        <v>259</v>
      </c>
      <c r="J3" t="s">
        <v>260</v>
      </c>
      <c r="K3" t="s">
        <v>271</v>
      </c>
      <c r="L3" t="s">
        <v>272</v>
      </c>
      <c r="M3" t="s">
        <v>273</v>
      </c>
      <c r="N3" t="s">
        <v>261</v>
      </c>
    </row>
    <row r="4" spans="1:15" x14ac:dyDescent="0.35">
      <c r="A4" s="7" t="s">
        <v>66</v>
      </c>
      <c r="B4" s="7" t="s">
        <v>250</v>
      </c>
      <c r="D4" s="8" t="s">
        <v>67</v>
      </c>
      <c r="E4" s="8" t="s">
        <v>68</v>
      </c>
      <c r="G4">
        <v>1</v>
      </c>
      <c r="H4" t="s">
        <v>95</v>
      </c>
      <c r="I4" t="s">
        <v>96</v>
      </c>
      <c r="J4" t="s">
        <v>97</v>
      </c>
      <c r="K4" t="s">
        <v>274</v>
      </c>
      <c r="L4" t="s">
        <v>275</v>
      </c>
      <c r="M4" t="s">
        <v>276</v>
      </c>
    </row>
    <row r="5" spans="1:15" x14ac:dyDescent="0.35">
      <c r="A5" s="2" t="s">
        <v>72</v>
      </c>
      <c r="B5" s="2" t="s">
        <v>250</v>
      </c>
      <c r="D5" s="2" t="s">
        <v>73</v>
      </c>
      <c r="E5" s="2" t="s">
        <v>73</v>
      </c>
      <c r="G5">
        <v>2</v>
      </c>
      <c r="H5" t="s">
        <v>98</v>
      </c>
      <c r="I5" t="s">
        <v>99</v>
      </c>
      <c r="J5" t="s">
        <v>97</v>
      </c>
      <c r="K5" t="s">
        <v>274</v>
      </c>
      <c r="L5" t="s">
        <v>275</v>
      </c>
      <c r="M5" t="s">
        <v>276</v>
      </c>
      <c r="N5" t="s">
        <v>100</v>
      </c>
    </row>
    <row r="6" spans="1:15" x14ac:dyDescent="0.35">
      <c r="A6" s="7" t="s">
        <v>78</v>
      </c>
      <c r="B6" s="7" t="s">
        <v>250</v>
      </c>
      <c r="D6" s="8" t="s">
        <v>79</v>
      </c>
      <c r="E6" s="8" t="s">
        <v>80</v>
      </c>
      <c r="G6">
        <v>3</v>
      </c>
      <c r="H6" t="s">
        <v>101</v>
      </c>
      <c r="I6" t="s">
        <v>102</v>
      </c>
      <c r="J6" t="s">
        <v>97</v>
      </c>
      <c r="K6" t="s">
        <v>274</v>
      </c>
      <c r="L6" t="s">
        <v>275</v>
      </c>
      <c r="M6" t="s">
        <v>276</v>
      </c>
    </row>
    <row r="7" spans="1:15" x14ac:dyDescent="0.35">
      <c r="A7" s="2" t="s">
        <v>84</v>
      </c>
      <c r="B7" s="2" t="s">
        <v>84</v>
      </c>
      <c r="D7" s="2" t="s">
        <v>85</v>
      </c>
      <c r="E7" s="2" t="s">
        <v>85</v>
      </c>
      <c r="G7">
        <v>4</v>
      </c>
      <c r="H7" t="s">
        <v>103</v>
      </c>
      <c r="I7" t="s">
        <v>104</v>
      </c>
      <c r="J7" t="s">
        <v>97</v>
      </c>
      <c r="K7" t="s">
        <v>274</v>
      </c>
      <c r="L7" t="s">
        <v>275</v>
      </c>
      <c r="M7" t="s">
        <v>276</v>
      </c>
    </row>
    <row r="8" spans="1:15" x14ac:dyDescent="0.35">
      <c r="A8" s="7" t="s">
        <v>88</v>
      </c>
      <c r="B8" s="7" t="s">
        <v>88</v>
      </c>
      <c r="D8" s="8" t="s">
        <v>89</v>
      </c>
      <c r="E8" s="8" t="s">
        <v>90</v>
      </c>
      <c r="G8">
        <v>5</v>
      </c>
      <c r="H8" t="s">
        <v>105</v>
      </c>
      <c r="I8" t="s">
        <v>106</v>
      </c>
      <c r="J8" t="s">
        <v>97</v>
      </c>
      <c r="K8" t="s">
        <v>274</v>
      </c>
      <c r="L8" t="s">
        <v>275</v>
      </c>
      <c r="M8" t="s">
        <v>276</v>
      </c>
    </row>
    <row r="9" spans="1:15" x14ac:dyDescent="0.35">
      <c r="D9" s="2" t="s">
        <v>92</v>
      </c>
      <c r="E9" s="2" t="s">
        <v>93</v>
      </c>
      <c r="G9">
        <v>6</v>
      </c>
      <c r="H9" t="s">
        <v>107</v>
      </c>
      <c r="I9" t="s">
        <v>108</v>
      </c>
      <c r="J9" t="s">
        <v>97</v>
      </c>
      <c r="K9" t="s">
        <v>274</v>
      </c>
      <c r="L9" t="s">
        <v>275</v>
      </c>
      <c r="M9" t="s">
        <v>276</v>
      </c>
    </row>
    <row r="10" spans="1:15" x14ac:dyDescent="0.35">
      <c r="D10" s="8" t="s">
        <v>87</v>
      </c>
      <c r="E10" s="8" t="s">
        <v>87</v>
      </c>
      <c r="G10">
        <v>7</v>
      </c>
      <c r="H10" t="s">
        <v>109</v>
      </c>
      <c r="I10" t="s">
        <v>109</v>
      </c>
      <c r="J10" t="s">
        <v>97</v>
      </c>
      <c r="K10" t="s">
        <v>274</v>
      </c>
      <c r="L10" t="s">
        <v>275</v>
      </c>
      <c r="M10" t="s">
        <v>276</v>
      </c>
    </row>
    <row r="11" spans="1:15" x14ac:dyDescent="0.35">
      <c r="G11">
        <v>8</v>
      </c>
      <c r="H11" t="s">
        <v>110</v>
      </c>
      <c r="I11" t="s">
        <v>111</v>
      </c>
      <c r="J11" t="s">
        <v>97</v>
      </c>
      <c r="K11" t="s">
        <v>274</v>
      </c>
      <c r="L11" t="s">
        <v>275</v>
      </c>
      <c r="M11" t="s">
        <v>276</v>
      </c>
    </row>
    <row r="12" spans="1:15" ht="23" x14ac:dyDescent="0.35">
      <c r="A12" s="29" t="s">
        <v>62</v>
      </c>
      <c r="B12" s="26"/>
      <c r="D12" s="5" t="s">
        <v>63</v>
      </c>
      <c r="G12">
        <v>9</v>
      </c>
      <c r="H12" t="s">
        <v>112</v>
      </c>
      <c r="I12" t="s">
        <v>113</v>
      </c>
      <c r="J12" t="s">
        <v>97</v>
      </c>
      <c r="K12" t="s">
        <v>274</v>
      </c>
      <c r="L12" t="s">
        <v>275</v>
      </c>
      <c r="M12" t="s">
        <v>276</v>
      </c>
    </row>
    <row r="13" spans="1:15" x14ac:dyDescent="0.35">
      <c r="A13" s="6" t="s">
        <v>3</v>
      </c>
      <c r="B13" s="6" t="s">
        <v>65</v>
      </c>
      <c r="D13" s="6" t="s">
        <v>4</v>
      </c>
      <c r="G13">
        <v>10</v>
      </c>
      <c r="H13" t="s">
        <v>114</v>
      </c>
      <c r="I13" t="s">
        <v>115</v>
      </c>
      <c r="J13" t="s">
        <v>97</v>
      </c>
      <c r="K13" t="s">
        <v>274</v>
      </c>
      <c r="L13" t="s">
        <v>275</v>
      </c>
      <c r="M13" t="s">
        <v>276</v>
      </c>
      <c r="N13" t="s">
        <v>116</v>
      </c>
    </row>
    <row r="14" spans="1:15" x14ac:dyDescent="0.35">
      <c r="A14" s="1" t="s">
        <v>11</v>
      </c>
      <c r="B14" s="1" t="s">
        <v>69</v>
      </c>
      <c r="D14" s="3" t="s">
        <v>70</v>
      </c>
      <c r="G14">
        <v>11</v>
      </c>
      <c r="H14" t="s">
        <v>117</v>
      </c>
      <c r="I14" t="s">
        <v>117</v>
      </c>
      <c r="J14" t="s">
        <v>97</v>
      </c>
      <c r="K14" t="s">
        <v>274</v>
      </c>
      <c r="L14" t="s">
        <v>275</v>
      </c>
      <c r="M14" t="s">
        <v>276</v>
      </c>
    </row>
    <row r="15" spans="1:15" x14ac:dyDescent="0.35">
      <c r="A15" s="2" t="s">
        <v>74</v>
      </c>
      <c r="B15" s="2" t="s">
        <v>75</v>
      </c>
      <c r="D15" s="2" t="s">
        <v>76</v>
      </c>
      <c r="G15">
        <v>12</v>
      </c>
      <c r="H15" t="s">
        <v>118</v>
      </c>
      <c r="I15" t="s">
        <v>119</v>
      </c>
      <c r="J15" t="s">
        <v>97</v>
      </c>
      <c r="K15" t="s">
        <v>274</v>
      </c>
      <c r="L15" t="s">
        <v>275</v>
      </c>
      <c r="M15" t="s">
        <v>276</v>
      </c>
    </row>
    <row r="16" spans="1:15" x14ac:dyDescent="0.35">
      <c r="A16" s="1" t="s">
        <v>81</v>
      </c>
      <c r="B16" s="1" t="s">
        <v>82</v>
      </c>
      <c r="D16" s="3" t="s">
        <v>83</v>
      </c>
      <c r="G16">
        <v>13</v>
      </c>
      <c r="H16" t="s">
        <v>120</v>
      </c>
      <c r="I16" t="s">
        <v>121</v>
      </c>
      <c r="J16" t="s">
        <v>97</v>
      </c>
      <c r="K16" t="s">
        <v>274</v>
      </c>
      <c r="L16" t="s">
        <v>277</v>
      </c>
    </row>
    <row r="17" spans="1:14" x14ac:dyDescent="0.35">
      <c r="A17" s="2" t="s">
        <v>76</v>
      </c>
      <c r="B17" s="2" t="s">
        <v>86</v>
      </c>
      <c r="D17" s="2" t="s">
        <v>87</v>
      </c>
      <c r="G17">
        <v>14</v>
      </c>
      <c r="H17" t="s">
        <v>122</v>
      </c>
      <c r="I17" t="s">
        <v>123</v>
      </c>
      <c r="J17" t="s">
        <v>97</v>
      </c>
      <c r="K17" t="s">
        <v>274</v>
      </c>
      <c r="L17" t="s">
        <v>275</v>
      </c>
      <c r="M17" t="s">
        <v>276</v>
      </c>
    </row>
    <row r="18" spans="1:14" x14ac:dyDescent="0.35">
      <c r="A18" s="1" t="s">
        <v>70</v>
      </c>
      <c r="B18" s="1" t="s">
        <v>91</v>
      </c>
      <c r="D18" s="3" t="s">
        <v>88</v>
      </c>
      <c r="G18">
        <v>15</v>
      </c>
      <c r="H18" t="s">
        <v>124</v>
      </c>
      <c r="I18" t="s">
        <v>125</v>
      </c>
      <c r="J18" t="s">
        <v>97</v>
      </c>
      <c r="K18" t="s">
        <v>274</v>
      </c>
      <c r="L18" t="s">
        <v>275</v>
      </c>
      <c r="M18" t="s">
        <v>276</v>
      </c>
    </row>
    <row r="19" spans="1:14" x14ac:dyDescent="0.35">
      <c r="A19" s="2" t="s">
        <v>88</v>
      </c>
      <c r="B19" s="2" t="s">
        <v>251</v>
      </c>
      <c r="G19">
        <v>16</v>
      </c>
      <c r="H19" t="s">
        <v>126</v>
      </c>
      <c r="I19" t="s">
        <v>127</v>
      </c>
      <c r="J19" t="s">
        <v>97</v>
      </c>
      <c r="K19" t="s">
        <v>274</v>
      </c>
      <c r="L19" t="s">
        <v>275</v>
      </c>
      <c r="M19" t="s">
        <v>276</v>
      </c>
    </row>
    <row r="20" spans="1:14" x14ac:dyDescent="0.35">
      <c r="A20" t="s">
        <v>87</v>
      </c>
      <c r="G20">
        <v>17</v>
      </c>
      <c r="H20" t="s">
        <v>128</v>
      </c>
      <c r="I20" t="s">
        <v>129</v>
      </c>
      <c r="J20" t="s">
        <v>130</v>
      </c>
      <c r="K20" t="s">
        <v>274</v>
      </c>
      <c r="L20" t="s">
        <v>275</v>
      </c>
      <c r="M20" t="s">
        <v>276</v>
      </c>
      <c r="N20" t="s">
        <v>131</v>
      </c>
    </row>
    <row r="21" spans="1:14" x14ac:dyDescent="0.35">
      <c r="G21">
        <v>18</v>
      </c>
      <c r="H21" t="s">
        <v>132</v>
      </c>
      <c r="I21" t="s">
        <v>133</v>
      </c>
      <c r="J21" t="s">
        <v>130</v>
      </c>
      <c r="K21" t="s">
        <v>274</v>
      </c>
      <c r="L21" t="s">
        <v>275</v>
      </c>
      <c r="M21" t="s">
        <v>276</v>
      </c>
    </row>
    <row r="22" spans="1:14" x14ac:dyDescent="0.35">
      <c r="A22" s="29" t="s">
        <v>254</v>
      </c>
      <c r="B22" s="29"/>
      <c r="G22">
        <v>19</v>
      </c>
      <c r="H22" t="s">
        <v>134</v>
      </c>
      <c r="I22" t="s">
        <v>265</v>
      </c>
      <c r="J22" t="s">
        <v>130</v>
      </c>
      <c r="K22" t="s">
        <v>274</v>
      </c>
      <c r="L22" t="s">
        <v>275</v>
      </c>
      <c r="M22" t="s">
        <v>276</v>
      </c>
      <c r="N22" s="10" t="s">
        <v>140</v>
      </c>
    </row>
    <row r="23" spans="1:14" x14ac:dyDescent="0.35">
      <c r="A23" s="6" t="s">
        <v>255</v>
      </c>
      <c r="B23" s="6" t="s">
        <v>256</v>
      </c>
      <c r="G23">
        <v>20</v>
      </c>
      <c r="H23" t="s">
        <v>135</v>
      </c>
      <c r="I23" t="s">
        <v>136</v>
      </c>
      <c r="J23" t="s">
        <v>130</v>
      </c>
      <c r="K23" t="s">
        <v>274</v>
      </c>
      <c r="L23" t="s">
        <v>275</v>
      </c>
      <c r="M23" t="s">
        <v>276</v>
      </c>
    </row>
    <row r="24" spans="1:14" x14ac:dyDescent="0.35">
      <c r="A24" s="7" t="s">
        <v>257</v>
      </c>
      <c r="B24" s="7">
        <v>399</v>
      </c>
      <c r="G24">
        <v>21</v>
      </c>
      <c r="H24" t="s">
        <v>137</v>
      </c>
      <c r="I24" t="s">
        <v>138</v>
      </c>
      <c r="J24" t="s">
        <v>130</v>
      </c>
      <c r="K24" t="s">
        <v>274</v>
      </c>
      <c r="L24" t="s">
        <v>275</v>
      </c>
      <c r="M24" t="s">
        <v>276</v>
      </c>
    </row>
    <row r="25" spans="1:14" x14ac:dyDescent="0.35">
      <c r="A25" s="2" t="s">
        <v>200</v>
      </c>
      <c r="B25" s="2" t="s">
        <v>249</v>
      </c>
      <c r="G25">
        <v>22</v>
      </c>
      <c r="H25" t="s">
        <v>139</v>
      </c>
      <c r="I25" t="s">
        <v>266</v>
      </c>
      <c r="J25" t="s">
        <v>130</v>
      </c>
      <c r="K25" t="s">
        <v>274</v>
      </c>
      <c r="L25" t="s">
        <v>275</v>
      </c>
      <c r="M25" t="s">
        <v>276</v>
      </c>
      <c r="N25" s="10" t="s">
        <v>140</v>
      </c>
    </row>
    <row r="26" spans="1:14" x14ac:dyDescent="0.35">
      <c r="G26">
        <v>23</v>
      </c>
      <c r="H26" t="s">
        <v>141</v>
      </c>
      <c r="I26" t="s">
        <v>142</v>
      </c>
      <c r="J26" t="s">
        <v>130</v>
      </c>
      <c r="K26" t="s">
        <v>274</v>
      </c>
      <c r="L26" t="s">
        <v>275</v>
      </c>
      <c r="M26" t="s">
        <v>276</v>
      </c>
    </row>
    <row r="27" spans="1:14" x14ac:dyDescent="0.35">
      <c r="G27">
        <v>24</v>
      </c>
      <c r="H27" t="s">
        <v>143</v>
      </c>
      <c r="I27" t="s">
        <v>267</v>
      </c>
      <c r="J27" t="s">
        <v>130</v>
      </c>
      <c r="K27" t="s">
        <v>274</v>
      </c>
      <c r="L27" t="s">
        <v>275</v>
      </c>
      <c r="M27" t="s">
        <v>276</v>
      </c>
      <c r="N27" t="s">
        <v>131</v>
      </c>
    </row>
    <row r="28" spans="1:14" ht="14" customHeight="1" x14ac:dyDescent="0.35">
      <c r="A28" s="5" t="s">
        <v>64</v>
      </c>
      <c r="G28">
        <v>25</v>
      </c>
      <c r="H28" t="s">
        <v>144</v>
      </c>
      <c r="I28" t="s">
        <v>145</v>
      </c>
      <c r="J28" t="s">
        <v>130</v>
      </c>
      <c r="K28" t="s">
        <v>274</v>
      </c>
      <c r="L28" t="s">
        <v>275</v>
      </c>
      <c r="M28" t="s">
        <v>276</v>
      </c>
    </row>
    <row r="29" spans="1:14" x14ac:dyDescent="0.35">
      <c r="A29" s="6" t="s">
        <v>253</v>
      </c>
      <c r="G29">
        <v>26</v>
      </c>
      <c r="H29" t="s">
        <v>146</v>
      </c>
      <c r="I29" t="s">
        <v>147</v>
      </c>
      <c r="J29" t="s">
        <v>130</v>
      </c>
      <c r="K29" t="s">
        <v>274</v>
      </c>
      <c r="L29" t="s">
        <v>275</v>
      </c>
      <c r="M29" t="s">
        <v>276</v>
      </c>
      <c r="N29" s="10" t="s">
        <v>140</v>
      </c>
    </row>
    <row r="30" spans="1:14" x14ac:dyDescent="0.35">
      <c r="A30" s="7" t="s">
        <v>71</v>
      </c>
      <c r="G30">
        <v>27</v>
      </c>
      <c r="H30" t="s">
        <v>148</v>
      </c>
      <c r="I30" t="s">
        <v>149</v>
      </c>
      <c r="J30" t="s">
        <v>130</v>
      </c>
      <c r="K30" t="s">
        <v>274</v>
      </c>
      <c r="L30" t="s">
        <v>275</v>
      </c>
      <c r="M30" t="s">
        <v>276</v>
      </c>
      <c r="N30" s="10" t="s">
        <v>116</v>
      </c>
    </row>
    <row r="31" spans="1:14" x14ac:dyDescent="0.35">
      <c r="A31" s="2" t="s">
        <v>77</v>
      </c>
      <c r="G31">
        <v>28</v>
      </c>
      <c r="H31" t="s">
        <v>150</v>
      </c>
      <c r="I31" t="s">
        <v>262</v>
      </c>
      <c r="J31" t="s">
        <v>263</v>
      </c>
      <c r="K31" t="s">
        <v>274</v>
      </c>
      <c r="L31" t="s">
        <v>278</v>
      </c>
      <c r="M31" t="s">
        <v>279</v>
      </c>
      <c r="N31" s="10" t="s">
        <v>152</v>
      </c>
    </row>
    <row r="32" spans="1:14" x14ac:dyDescent="0.35">
      <c r="G32">
        <v>29</v>
      </c>
      <c r="H32" t="s">
        <v>153</v>
      </c>
      <c r="I32" t="s">
        <v>154</v>
      </c>
      <c r="J32" t="s">
        <v>263</v>
      </c>
      <c r="K32" t="s">
        <v>274</v>
      </c>
      <c r="L32" t="s">
        <v>275</v>
      </c>
      <c r="M32" t="s">
        <v>276</v>
      </c>
      <c r="N32" t="s">
        <v>152</v>
      </c>
    </row>
    <row r="33" spans="7:14" x14ac:dyDescent="0.35">
      <c r="G33">
        <v>30</v>
      </c>
      <c r="H33" t="s">
        <v>155</v>
      </c>
      <c r="I33" t="s">
        <v>156</v>
      </c>
      <c r="J33" t="s">
        <v>263</v>
      </c>
      <c r="K33" t="s">
        <v>274</v>
      </c>
      <c r="L33" t="s">
        <v>278</v>
      </c>
      <c r="N33" t="s">
        <v>152</v>
      </c>
    </row>
    <row r="34" spans="7:14" x14ac:dyDescent="0.35">
      <c r="G34">
        <v>31</v>
      </c>
      <c r="H34" t="s">
        <v>157</v>
      </c>
      <c r="I34" t="s">
        <v>158</v>
      </c>
      <c r="J34" t="s">
        <v>263</v>
      </c>
      <c r="K34" t="s">
        <v>274</v>
      </c>
      <c r="L34" t="s">
        <v>275</v>
      </c>
      <c r="M34" t="s">
        <v>276</v>
      </c>
    </row>
    <row r="35" spans="7:14" x14ac:dyDescent="0.35">
      <c r="G35">
        <v>32</v>
      </c>
      <c r="H35" t="s">
        <v>159</v>
      </c>
      <c r="I35" t="s">
        <v>264</v>
      </c>
      <c r="J35" t="s">
        <v>263</v>
      </c>
      <c r="K35" t="s">
        <v>274</v>
      </c>
      <c r="L35" t="s">
        <v>278</v>
      </c>
      <c r="M35" t="s">
        <v>279</v>
      </c>
    </row>
    <row r="36" spans="7:14" x14ac:dyDescent="0.35">
      <c r="G36">
        <v>33</v>
      </c>
      <c r="H36" t="s">
        <v>160</v>
      </c>
      <c r="I36" t="s">
        <v>268</v>
      </c>
      <c r="J36" t="s">
        <v>263</v>
      </c>
      <c r="K36" t="s">
        <v>274</v>
      </c>
      <c r="L36" t="s">
        <v>275</v>
      </c>
      <c r="M36" t="s">
        <v>276</v>
      </c>
    </row>
    <row r="37" spans="7:14" x14ac:dyDescent="0.35">
      <c r="G37">
        <v>34</v>
      </c>
      <c r="H37" t="s">
        <v>161</v>
      </c>
      <c r="I37" t="s">
        <v>162</v>
      </c>
      <c r="J37" t="s">
        <v>263</v>
      </c>
      <c r="K37" t="s">
        <v>274</v>
      </c>
      <c r="L37" t="s">
        <v>275</v>
      </c>
      <c r="M37" t="s">
        <v>276</v>
      </c>
    </row>
    <row r="38" spans="7:14" x14ac:dyDescent="0.35">
      <c r="G38">
        <v>35</v>
      </c>
      <c r="H38" t="s">
        <v>163</v>
      </c>
      <c r="I38" t="s">
        <v>164</v>
      </c>
      <c r="J38" t="s">
        <v>165</v>
      </c>
      <c r="K38" t="s">
        <v>274</v>
      </c>
      <c r="L38" t="s">
        <v>275</v>
      </c>
      <c r="M38" t="s">
        <v>276</v>
      </c>
    </row>
    <row r="39" spans="7:14" x14ac:dyDescent="0.35">
      <c r="G39">
        <v>36</v>
      </c>
      <c r="H39" t="s">
        <v>166</v>
      </c>
      <c r="I39" t="s">
        <v>167</v>
      </c>
      <c r="J39" t="s">
        <v>165</v>
      </c>
      <c r="K39" t="s">
        <v>274</v>
      </c>
      <c r="L39" t="s">
        <v>275</v>
      </c>
      <c r="M39" t="s">
        <v>276</v>
      </c>
    </row>
    <row r="40" spans="7:14" x14ac:dyDescent="0.35">
      <c r="G40">
        <v>37</v>
      </c>
      <c r="H40" t="s">
        <v>168</v>
      </c>
      <c r="I40" t="s">
        <v>169</v>
      </c>
      <c r="J40" t="s">
        <v>165</v>
      </c>
      <c r="K40" t="s">
        <v>274</v>
      </c>
      <c r="L40" t="s">
        <v>275</v>
      </c>
      <c r="M40" t="s">
        <v>276</v>
      </c>
    </row>
    <row r="41" spans="7:14" x14ac:dyDescent="0.35">
      <c r="G41">
        <v>38</v>
      </c>
      <c r="H41" t="s">
        <v>170</v>
      </c>
      <c r="I41" t="s">
        <v>171</v>
      </c>
      <c r="J41" t="s">
        <v>165</v>
      </c>
      <c r="K41" t="s">
        <v>274</v>
      </c>
      <c r="L41" t="s">
        <v>275</v>
      </c>
      <c r="M41" t="s">
        <v>276</v>
      </c>
    </row>
    <row r="42" spans="7:14" x14ac:dyDescent="0.35">
      <c r="G42">
        <v>39</v>
      </c>
      <c r="H42" t="s">
        <v>172</v>
      </c>
      <c r="I42" t="s">
        <v>173</v>
      </c>
      <c r="J42" t="s">
        <v>165</v>
      </c>
      <c r="K42" t="s">
        <v>274</v>
      </c>
      <c r="L42" t="s">
        <v>275</v>
      </c>
      <c r="M42" t="s">
        <v>276</v>
      </c>
    </row>
    <row r="43" spans="7:14" x14ac:dyDescent="0.35">
      <c r="G43">
        <v>40</v>
      </c>
      <c r="H43" t="s">
        <v>174</v>
      </c>
      <c r="I43" t="s">
        <v>175</v>
      </c>
      <c r="J43" t="s">
        <v>176</v>
      </c>
      <c r="K43" t="s">
        <v>274</v>
      </c>
      <c r="L43" t="s">
        <v>275</v>
      </c>
      <c r="M43" t="s">
        <v>276</v>
      </c>
    </row>
    <row r="44" spans="7:14" x14ac:dyDescent="0.35">
      <c r="G44">
        <v>41</v>
      </c>
      <c r="H44" t="s">
        <v>177</v>
      </c>
      <c r="I44" t="s">
        <v>178</v>
      </c>
      <c r="J44" t="s">
        <v>176</v>
      </c>
      <c r="K44" t="s">
        <v>274</v>
      </c>
      <c r="L44" t="s">
        <v>275</v>
      </c>
      <c r="M44" t="s">
        <v>276</v>
      </c>
    </row>
    <row r="45" spans="7:14" x14ac:dyDescent="0.35">
      <c r="G45">
        <v>42</v>
      </c>
      <c r="H45" t="s">
        <v>179</v>
      </c>
      <c r="I45" t="s">
        <v>180</v>
      </c>
      <c r="J45" t="s">
        <v>176</v>
      </c>
      <c r="K45" t="s">
        <v>274</v>
      </c>
      <c r="L45" t="s">
        <v>275</v>
      </c>
      <c r="M45" t="s">
        <v>276</v>
      </c>
    </row>
    <row r="46" spans="7:14" x14ac:dyDescent="0.35">
      <c r="G46">
        <v>43</v>
      </c>
      <c r="H46" t="s">
        <v>181</v>
      </c>
      <c r="I46" t="s">
        <v>182</v>
      </c>
      <c r="J46" t="s">
        <v>176</v>
      </c>
      <c r="K46" t="s">
        <v>274</v>
      </c>
      <c r="L46" t="s">
        <v>275</v>
      </c>
      <c r="M46" t="s">
        <v>276</v>
      </c>
    </row>
    <row r="47" spans="7:14" x14ac:dyDescent="0.35">
      <c r="G47">
        <v>44</v>
      </c>
      <c r="H47" t="s">
        <v>183</v>
      </c>
      <c r="I47" t="s">
        <v>184</v>
      </c>
      <c r="J47" t="s">
        <v>176</v>
      </c>
      <c r="K47" t="s">
        <v>274</v>
      </c>
      <c r="L47" t="s">
        <v>275</v>
      </c>
      <c r="M47" t="s">
        <v>276</v>
      </c>
    </row>
    <row r="48" spans="7:14" x14ac:dyDescent="0.35">
      <c r="G48">
        <v>45</v>
      </c>
      <c r="H48" t="s">
        <v>185</v>
      </c>
      <c r="I48" t="s">
        <v>186</v>
      </c>
      <c r="J48" t="s">
        <v>176</v>
      </c>
      <c r="K48" t="s">
        <v>274</v>
      </c>
      <c r="L48" t="s">
        <v>275</v>
      </c>
      <c r="M48" t="s">
        <v>276</v>
      </c>
    </row>
    <row r="49" spans="1:21" x14ac:dyDescent="0.35">
      <c r="G49">
        <v>46</v>
      </c>
      <c r="H49" t="s">
        <v>187</v>
      </c>
      <c r="I49" t="s">
        <v>188</v>
      </c>
      <c r="J49" t="s">
        <v>176</v>
      </c>
      <c r="K49" t="s">
        <v>274</v>
      </c>
      <c r="L49" t="s">
        <v>275</v>
      </c>
      <c r="M49" t="s">
        <v>276</v>
      </c>
      <c r="Q49" t="s">
        <v>351</v>
      </c>
      <c r="R49" t="s">
        <v>271</v>
      </c>
      <c r="S49" t="s">
        <v>272</v>
      </c>
      <c r="T49" t="s">
        <v>280</v>
      </c>
      <c r="U49" t="s">
        <v>197</v>
      </c>
    </row>
    <row r="50" spans="1:21" x14ac:dyDescent="0.35">
      <c r="Q50" t="s">
        <v>0</v>
      </c>
      <c r="R50" t="s">
        <v>352</v>
      </c>
      <c r="S50" t="s">
        <v>248</v>
      </c>
      <c r="T50" t="s">
        <v>353</v>
      </c>
      <c r="U50" t="s">
        <v>354</v>
      </c>
    </row>
    <row r="51" spans="1:21" x14ac:dyDescent="0.35">
      <c r="Q51" t="s">
        <v>258</v>
      </c>
      <c r="R51" t="s">
        <v>295</v>
      </c>
      <c r="S51" t="s">
        <v>355</v>
      </c>
      <c r="T51" t="s">
        <v>356</v>
      </c>
      <c r="U51" t="s">
        <v>354</v>
      </c>
    </row>
    <row r="52" spans="1:21" x14ac:dyDescent="0.35">
      <c r="Q52" t="s">
        <v>94</v>
      </c>
      <c r="R52" t="s">
        <v>295</v>
      </c>
      <c r="S52" t="s">
        <v>285</v>
      </c>
      <c r="T52" t="s">
        <v>357</v>
      </c>
      <c r="U52" t="s">
        <v>354</v>
      </c>
    </row>
    <row r="53" spans="1:21" x14ac:dyDescent="0.35">
      <c r="Q53" t="s">
        <v>259</v>
      </c>
      <c r="R53" t="s">
        <v>295</v>
      </c>
      <c r="S53" t="s">
        <v>285</v>
      </c>
      <c r="T53" t="s">
        <v>358</v>
      </c>
      <c r="U53" t="s">
        <v>354</v>
      </c>
    </row>
    <row r="54" spans="1:21" x14ac:dyDescent="0.35">
      <c r="Q54" t="s">
        <v>260</v>
      </c>
      <c r="R54" t="s">
        <v>295</v>
      </c>
      <c r="S54" t="s">
        <v>285</v>
      </c>
      <c r="T54" t="s">
        <v>359</v>
      </c>
      <c r="U54" t="s">
        <v>354</v>
      </c>
    </row>
    <row r="55" spans="1:21" x14ac:dyDescent="0.35">
      <c r="Q55" t="s">
        <v>5</v>
      </c>
      <c r="R55" t="s">
        <v>274</v>
      </c>
      <c r="S55" t="s">
        <v>275</v>
      </c>
      <c r="T55" t="s">
        <v>360</v>
      </c>
      <c r="U55" t="s">
        <v>354</v>
      </c>
    </row>
    <row r="56" spans="1:21" x14ac:dyDescent="0.35">
      <c r="Q56" t="s">
        <v>361</v>
      </c>
      <c r="R56" t="s">
        <v>274</v>
      </c>
      <c r="S56" t="s">
        <v>278</v>
      </c>
      <c r="T56" t="s">
        <v>362</v>
      </c>
      <c r="U56" t="s">
        <v>354</v>
      </c>
    </row>
    <row r="57" spans="1:21" x14ac:dyDescent="0.35">
      <c r="Q57" t="s">
        <v>363</v>
      </c>
      <c r="R57" t="s">
        <v>297</v>
      </c>
      <c r="S57" t="s">
        <v>298</v>
      </c>
      <c r="T57" t="s">
        <v>364</v>
      </c>
      <c r="U57" t="s">
        <v>354</v>
      </c>
    </row>
    <row r="58" spans="1:21" x14ac:dyDescent="0.35">
      <c r="Q58" t="s">
        <v>197</v>
      </c>
      <c r="R58" t="s">
        <v>274</v>
      </c>
      <c r="S58" t="s">
        <v>285</v>
      </c>
      <c r="T58" t="s">
        <v>365</v>
      </c>
      <c r="U58" t="s">
        <v>354</v>
      </c>
    </row>
    <row r="60" spans="1:21" x14ac:dyDescent="0.35">
      <c r="A60" t="s">
        <v>376</v>
      </c>
      <c r="B60" t="s">
        <v>377</v>
      </c>
    </row>
    <row r="61" spans="1:21" x14ac:dyDescent="0.35">
      <c r="A61" t="s">
        <v>378</v>
      </c>
      <c r="B61" t="s">
        <v>379</v>
      </c>
    </row>
    <row r="62" spans="1:21" x14ac:dyDescent="0.35">
      <c r="A62" t="s">
        <v>380</v>
      </c>
      <c r="B62" t="s">
        <v>381</v>
      </c>
    </row>
    <row r="63" spans="1:21" x14ac:dyDescent="0.35">
      <c r="A63" t="s">
        <v>382</v>
      </c>
      <c r="B63" t="s">
        <v>383</v>
      </c>
    </row>
    <row r="64" spans="1:21" x14ac:dyDescent="0.35">
      <c r="A64" t="s">
        <v>384</v>
      </c>
      <c r="B64" t="s">
        <v>385</v>
      </c>
      <c r="Q64" t="s">
        <v>351</v>
      </c>
      <c r="R64" t="s">
        <v>366</v>
      </c>
    </row>
    <row r="65" spans="1:18" x14ac:dyDescent="0.35">
      <c r="A65" t="s">
        <v>386</v>
      </c>
      <c r="B65" t="s">
        <v>387</v>
      </c>
      <c r="Q65" t="s">
        <v>202</v>
      </c>
      <c r="R65" t="s">
        <v>294</v>
      </c>
    </row>
    <row r="66" spans="1:18" x14ac:dyDescent="0.35">
      <c r="A66" t="s">
        <v>388</v>
      </c>
      <c r="B66" t="s">
        <v>389</v>
      </c>
      <c r="Q66" t="s">
        <v>204</v>
      </c>
      <c r="R66" t="s">
        <v>296</v>
      </c>
    </row>
    <row r="67" spans="1:18" x14ac:dyDescent="0.35">
      <c r="A67" t="s">
        <v>390</v>
      </c>
      <c r="B67" t="s">
        <v>391</v>
      </c>
      <c r="Q67" t="s">
        <v>205</v>
      </c>
      <c r="R67" t="s">
        <v>299</v>
      </c>
    </row>
    <row r="68" spans="1:18" x14ac:dyDescent="0.35">
      <c r="Q68" t="s">
        <v>206</v>
      </c>
      <c r="R68" t="s">
        <v>300</v>
      </c>
    </row>
    <row r="69" spans="1:18" x14ac:dyDescent="0.35">
      <c r="Q69" t="s">
        <v>210</v>
      </c>
      <c r="R69" t="s">
        <v>307</v>
      </c>
    </row>
    <row r="70" spans="1:18" x14ac:dyDescent="0.35">
      <c r="Q70" t="s">
        <v>211</v>
      </c>
      <c r="R70" t="s">
        <v>308</v>
      </c>
    </row>
    <row r="71" spans="1:18" x14ac:dyDescent="0.35">
      <c r="Q71" t="s">
        <v>216</v>
      </c>
      <c r="R71" t="s">
        <v>314</v>
      </c>
    </row>
    <row r="72" spans="1:18" x14ac:dyDescent="0.35">
      <c r="Q72" t="s">
        <v>217</v>
      </c>
      <c r="R72" t="s">
        <v>316</v>
      </c>
    </row>
    <row r="73" spans="1:18" x14ac:dyDescent="0.35">
      <c r="Q73" t="s">
        <v>215</v>
      </c>
      <c r="R73" t="s">
        <v>367</v>
      </c>
    </row>
    <row r="74" spans="1:18" x14ac:dyDescent="0.35">
      <c r="Q74" t="s">
        <v>200</v>
      </c>
      <c r="R74" t="s">
        <v>368</v>
      </c>
    </row>
    <row r="77" spans="1:18" x14ac:dyDescent="0.35">
      <c r="Q77" t="s">
        <v>351</v>
      </c>
      <c r="R77" t="s">
        <v>369</v>
      </c>
    </row>
    <row r="78" spans="1:18" x14ac:dyDescent="0.35">
      <c r="Q78" t="s">
        <v>201</v>
      </c>
      <c r="R78" t="s">
        <v>370</v>
      </c>
    </row>
    <row r="79" spans="1:18" x14ac:dyDescent="0.35">
      <c r="Q79" t="s">
        <v>203</v>
      </c>
      <c r="R79" t="s">
        <v>370</v>
      </c>
    </row>
    <row r="80" spans="1:18" x14ac:dyDescent="0.35">
      <c r="Q80" t="s">
        <v>2</v>
      </c>
      <c r="R80" t="s">
        <v>371</v>
      </c>
    </row>
    <row r="81" spans="17:18" x14ac:dyDescent="0.35">
      <c r="Q81" t="s">
        <v>3</v>
      </c>
      <c r="R81" t="s">
        <v>372</v>
      </c>
    </row>
    <row r="82" spans="17:18" x14ac:dyDescent="0.35">
      <c r="Q82" t="s">
        <v>4</v>
      </c>
      <c r="R82" t="s">
        <v>373</v>
      </c>
    </row>
    <row r="83" spans="17:18" x14ac:dyDescent="0.35">
      <c r="Q83" t="s">
        <v>219</v>
      </c>
      <c r="R83" t="s">
        <v>374</v>
      </c>
    </row>
    <row r="84" spans="17:18" x14ac:dyDescent="0.35">
      <c r="Q84" t="s">
        <v>220</v>
      </c>
      <c r="R84" t="s">
        <v>374</v>
      </c>
    </row>
    <row r="85" spans="17:18" x14ac:dyDescent="0.35">
      <c r="Q85" t="s">
        <v>214</v>
      </c>
      <c r="R85" t="s">
        <v>374</v>
      </c>
    </row>
    <row r="86" spans="17:18" x14ac:dyDescent="0.35">
      <c r="Q86" t="s">
        <v>327</v>
      </c>
      <c r="R86" t="s">
        <v>375</v>
      </c>
    </row>
  </sheetData>
  <mergeCells count="6">
    <mergeCell ref="A1:O1"/>
    <mergeCell ref="A2:B2"/>
    <mergeCell ref="A22:B22"/>
    <mergeCell ref="G2:N2"/>
    <mergeCell ref="D2:E2"/>
    <mergeCell ref="A12:B12"/>
  </mergeCells>
  <phoneticPr fontId="9" type="noConversion"/>
  <pageMargins left="0.75" right="0.75" top="1" bottom="1" header="0.5" footer="0.5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📊 Dashboard</vt:lpstr>
      <vt:lpstr>Entry Form</vt:lpstr>
      <vt:lpstr>Edit Transaction</vt:lpstr>
      <vt:lpstr>Agent</vt:lpstr>
      <vt:lpstr>Transaction Table</vt:lpstr>
      <vt:lpstr>Transaction Calc</vt:lpstr>
      <vt:lpstr>Checklist Table</vt:lpstr>
      <vt:lpstr>📝 TransactionMaster</vt:lpstr>
      <vt:lpstr>🔖 Lookups</vt:lpstr>
      <vt:lpstr>AgentCheck</vt:lpstr>
      <vt:lpstr>'Edit Transaction'!CkPaste</vt:lpstr>
      <vt:lpstr>CkPaste</vt:lpstr>
      <vt:lpstr>EditChk</vt:lpstr>
      <vt:lpstr>EditID</vt:lpstr>
      <vt:lpstr>EditTrans</vt:lpstr>
      <vt:lpstr>FlatFee</vt:lpstr>
      <vt:lpstr>NewAgent</vt:lpstr>
      <vt:lpstr>NewOffice</vt:lpstr>
      <vt:lpstr>State</vt:lpstr>
      <vt:lpstr>TranCount</vt:lpstr>
      <vt:lpstr>'Edit Transaction'!TranID</vt:lpstr>
      <vt:lpstr>TranID</vt:lpstr>
      <vt:lpstr>'Edit Transaction'!TransPaste</vt:lpstr>
      <vt:lpstr>TransPaste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Tiffany Sloan</cp:lastModifiedBy>
  <dcterms:created xsi:type="dcterms:W3CDTF">2026-02-26T15:07:17Z</dcterms:created>
  <dcterms:modified xsi:type="dcterms:W3CDTF">2026-02-27T14:22:33Z</dcterms:modified>
</cp:coreProperties>
</file>